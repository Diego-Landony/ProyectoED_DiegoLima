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 showHorizontalScroll="1" showVerticalScroll="1"/>
  </bookViews>
  <sheets>
    <sheet name="Guia de Uso" sheetId="1" state="visible" r:id="rId1"/>
    <sheet name="1. Datos_Crudos" sheetId="2" state="visible" r:id="rId2"/>
    <sheet name="2. Factorial" sheetId="3" state="visible" r:id="rId3"/>
    <sheet name="3. Fibonacci" sheetId="4" state="visible" r:id="rId4"/>
    <sheet name="4. Busqueda Lineal" sheetId="5" state="visible" r:id="rId5"/>
    <sheet name="5. Burbuja" sheetId="6" state="visible" r:id="rId6"/>
    <sheet name="6. Conclusiones" sheetId="7" state="visible" r:id="rId7"/>
  </sheets>
  <calcPr fullCalcOnLoad="1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<sst xmlns="http://schemas.openxmlformats.org/spreadsheetml/2006/main" count="67" uniqueCount="67">
  <si>
    <t xml:space="preserve">GUIA DE USO — Ejemplo de Registro de Tiempos de Ejecucion</t>
  </si>
  <si>
    <t xml:space="preserve">Estructura de Datos | Ing. Brandon Chitay | Universidad Da Vinci de Guatemala</t>
  </si>
  <si>
    <t xml:space="preserve">PROPOSITO DEL ARCHIVO</t>
  </si>
  <si>
    <t xml:space="preserve"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</si>
  <si>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 xml:space="preserve">ESTRUCTURA DEL LIBRO</t>
  </si>
  <si>
    <t xml:space="preserve"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</si>
  <si>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 xml:space="preserve">CODIGO DE COLORES</t>
  </si>
  <si>
    <t xml:space="preserve">Fondo AMARILLO → Celdas que TU debes rellenar con tus mediciones reales
Fondo VERDE → Formula automatica (promedio), NO la edites
Fondo AZUL → Encabezado, no modificar
Fondo GRIS → Dato de referencia calculado automaticamente</t>
  </si>
  <si>
    <t xml:space="preserve">COMO MEDIR EN JAVA</t>
  </si>
  <si>
    <t xml:space="preserve">long inicio  = System.nanoTime();
// ... tu algoritmo aqui ...
long fin     = System.nanoTime();
double ms    = (fin - inicio) / 1_000_000.0;
Repite 5 veces y registra cada resultado en las columnas Ej.1 a Ej.5.</t>
  </si>
  <si>
    <t xml:space="preserve">COMO CREAR LA GRAFICA</t>
  </si>
  <si>
    <t xml:space="preserve"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</si>
  <si>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 xml:space="preserve">PREGUNTAS CLAVE</t>
  </si>
  <si>
    <t xml:space="preserve">Fibonacci: ¿por que el recursivo es tan mas lento que el iterativo?
Burbuja: ¿cuanto aumenta el tiempo al duplicar n? (pista: 4x)
¿Cual algoritmo es el mas rapido? ¿El mas lento?
¿Vale la pena la elegancia del codigo recursivo para Fibonacci?</t>
  </si>
  <si>
    <t xml:space="preserve">HOJA 1 — Datos Crudos | Tiempos de Ejecucion (ms)</t>
  </si>
  <si>
    <t>Algoritmo</t>
  </si>
  <si>
    <t>Version</t>
  </si>
  <si>
    <t>n</t>
  </si>
  <si>
    <t xml:space="preserve">Ej. 1 (ms)</t>
  </si>
  <si>
    <t xml:space="preserve">Ej. 2 (ms)</t>
  </si>
  <si>
    <t xml:space="preserve">Ej. 3 (ms)</t>
  </si>
  <si>
    <t xml:space="preserve">Ej. 4 (ms)</t>
  </si>
  <si>
    <t xml:space="preserve">Ej. 5 (ms)</t>
  </si>
  <si>
    <t xml:space="preserve">PROMEDIO (ms)</t>
  </si>
  <si>
    <t xml:space="preserve">A1 - Factorial</t>
  </si>
  <si>
    <t>Iterativo</t>
  </si>
  <si>
    <t>Recursivo</t>
  </si>
  <si>
    <t xml:space="preserve">A2 - Fibonacci</t>
  </si>
  <si>
    <t xml:space="preserve">A3 - Busqueda Lineal</t>
  </si>
  <si>
    <t xml:space="preserve">A4 - Burbuja</t>
  </si>
  <si>
    <t xml:space="preserve">Leyenda:  Fondo AMARILLO = ingresa tu medicion real  |  Fondo VERDE = promedio automatico (no editar)  |  Fondo NARANJA = version recursiva</t>
  </si>
  <si>
    <t xml:space="preserve">HOJA — A1 - Factorial | Iterativo vs. Recursivo</t>
  </si>
  <si>
    <t xml:space="preserve">Big-O Iterativo:</t>
  </si>
  <si>
    <t>O(n)</t>
  </si>
  <si>
    <t xml:space="preserve">Big-O Recursivo:  O(n)</t>
  </si>
  <si>
    <t xml:space="preserve">Iterativo
(O(n))</t>
  </si>
  <si>
    <t xml:space="preserve">Recursivo
(O(n))</t>
  </si>
  <si>
    <t xml:space="preserve">Observacion:  Ambas versiones son O(n): el tiempo crece linealmente con n.</t>
  </si>
  <si>
    <t xml:space="preserve">HOJA — A2 - Fibonacci | Iterativo vs. Recursivo</t>
  </si>
  <si>
    <t xml:space="preserve">Big-O Recursivo:  O(2^n)</t>
  </si>
  <si>
    <t xml:space="preserve">Recursivo
(O(2^n))</t>
  </si>
  <si>
    <t xml:space="preserve">Observacion:  Recursivo crece exponencialmente: duplicar n casi cuadriplica el tiempo.</t>
  </si>
  <si>
    <t xml:space="preserve">HOJA — A3 - Busqueda Lineal | Iterativo vs. Recursivo</t>
  </si>
  <si>
    <t xml:space="preserve">Observacion:  Ambas O(n): al multiplicar n x10, el tiempo tambien x10 aprox.</t>
  </si>
  <si>
    <t xml:space="preserve">HOJA — A4 - Burbuja | Iterativo vs. Recursivo</t>
  </si>
  <si>
    <t>O(n^2)</t>
  </si>
  <si>
    <t xml:space="preserve">Big-O Recursivo:  O(n^2)</t>
  </si>
  <si>
    <t xml:space="preserve">Iterativo
(O(n^2))</t>
  </si>
  <si>
    <t xml:space="preserve">Recursivo
(O(n^2))</t>
  </si>
  <si>
    <t xml:space="preserve">Observacion:  Ambas O(n^2): al x10 n, el tiempo aumenta aprox x100.</t>
  </si>
  <si>
    <t xml:space="preserve">HOJA 6 — Conclusiones | Big-O Experimental vs. Teorico</t>
  </si>
  <si>
    <t xml:space="preserve">Big-O Experimental
(de tu grafica)</t>
  </si>
  <si>
    <t xml:space="preserve">Big-O Teorico</t>
  </si>
  <si>
    <t>Coincide?</t>
  </si>
  <si>
    <t xml:space="preserve">Justificacion breve</t>
  </si>
  <si>
    <t xml:space="preserve">(escribe aqui)</t>
  </si>
  <si>
    <t xml:space="preserve">Si / No</t>
  </si>
  <si>
    <t>O(2^n)</t>
  </si>
  <si>
    <t xml:space="preserve">Guia para interpretar tus graficas:</t>
  </si>
  <si>
    <t xml:space="preserve">Linea recta en grafica</t>
  </si>
  <si>
    <t xml:space="preserve">→  Big-O es probablemente O(1) o O(n)</t>
  </si>
  <si>
    <t xml:space="preserve">Curva suave ascendente</t>
  </si>
  <si>
    <t xml:space="preserve">→  Big-O es probablemente O(n) o O(log n)</t>
  </si>
  <si>
    <t xml:space="preserve">Curva que sube rapido</t>
  </si>
  <si>
    <t xml:space="preserve">→  Big-O es probablemente O(n^2)</t>
  </si>
  <si>
    <t xml:space="preserve">Curva que explota (vertical)</t>
  </si>
  <si>
    <t xml:space="preserve">→  Big-O es probablemente O(2^n)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</si>
</sst>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24">
    <font>
      <sz val="11.000000"/>
      <color theme="1"/>
      <name val="Calibri"/>
    </font>
    <font>
      <b/>
      <sz val="14.000000"/>
      <color indexed="65"/>
      <name val="Arial"/>
    </font>
    <font>
      <i/>
      <sz val="10.000000"/>
      <color rgb="FFA48029"/>
      <name val="Arial"/>
    </font>
    <font>
      <b/>
      <sz val="10.000000"/>
      <color indexed="65"/>
      <name val="Arial"/>
    </font>
    <font>
      <sz val="10.000000"/>
      <color indexed="63"/>
      <name val="Arial"/>
    </font>
    <font>
      <sz val="10.000000"/>
      <color indexed="63"/>
      <name val="Courier New"/>
    </font>
    <font>
      <b/>
      <sz val="13.000000"/>
      <color indexed="65"/>
      <name val="Arial"/>
    </font>
    <font>
      <b/>
      <sz val="9.000000"/>
      <color rgb="FF1B3A6B"/>
      <name val="Arial"/>
    </font>
    <font>
      <sz val="9.000000"/>
      <color rgb="FF555555"/>
      <name val="Arial"/>
    </font>
    <font>
      <sz val="9.000000"/>
      <name val="Arial"/>
    </font>
    <font>
      <b/>
      <sz val="9.000000"/>
      <name val="Arial"/>
    </font>
    <font>
      <i/>
      <sz val="9.000000"/>
      <color rgb="FF666666"/>
      <name val="Arial"/>
    </font>
    <font>
      <b/>
      <sz val="11.000000"/>
      <color rgb="FF1B3A6B"/>
      <name val="Arial"/>
    </font>
    <font>
      <b/>
      <sz val="10.000000"/>
      <name val="Arial"/>
    </font>
    <font>
      <sz val="10.000000"/>
      <color rgb="FF1B3A6B"/>
      <name val="Arial"/>
    </font>
    <font>
      <sz val="10.000000"/>
      <color rgb="FFA48029"/>
      <name val="Arial"/>
    </font>
    <font>
      <i/>
      <sz val="9.000000"/>
      <color indexed="63"/>
      <name val="Arial"/>
    </font>
    <font>
      <b/>
      <sz val="11.000000"/>
      <color rgb="FF8B0000"/>
      <name val="Arial"/>
    </font>
    <font>
      <sz val="10.000000"/>
      <color rgb="FF8B0000"/>
      <name val="Arial"/>
    </font>
    <font>
      <b/>
      <sz val="9.000000"/>
      <color indexed="65"/>
      <name val="Arial"/>
    </font>
    <font>
      <sz val="9.000000"/>
      <color rgb="FF444444"/>
      <name val="Arial"/>
    </font>
    <font>
      <b/>
      <sz val="9.000000"/>
      <color rgb="FFAA0000"/>
      <name val="Arial"/>
    </font>
    <font>
      <b/>
      <sz val="9.000000"/>
      <color rgb="FF007700"/>
      <name val="Arial"/>
    </font>
    <font>
      <sz val="9.000000"/>
      <color indexed="63"/>
      <name val="Arial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indexed="65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indexed="65"/>
      </patternFill>
    </fill>
    <fill>
      <patternFill patternType="solid">
        <fgColor rgb="FFFFEBEE"/>
        <bgColor rgb="FFFFF3E0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none"/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none"/>
      <diagonal style="none"/>
    </border>
    <border>
      <left style="thin">
        <color rgb="FFCCCCCC"/>
      </left>
      <right style="thin">
        <color rgb="FFCCCCCC"/>
      </right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48">
    <xf fontId="0" fillId="0" borderId="0" numFmtId="0" xfId="0" quotePrefix="0" pivotButton="0"/>
    <xf fontId="0" fillId="0" borderId="0" numFmtId="0" xfId="0" quotePrefix="0" pivotButton="0"/>
    <xf fontId="0" fillId="0" borderId="0" numFmtId="0" xfId="0" applyAlignment="1" quotePrefix="0" pivotButton="0">
      <alignment horizontal="left"/>
    </xf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2" numFmtId="0" xfId="0" applyBorder="1" quotePrefix="0" pivotButton="0"/>
    <xf fontId="2" fillId="3" borderId="1" numFmtId="0" xfId="0" applyFont="1" applyFill="1" applyBorder="1" applyAlignment="1" quotePrefix="0" pivotButton="0">
      <alignment horizontal="center" vertical="center" wrapText="1"/>
    </xf>
    <xf fontId="3" fillId="2" borderId="3" numFmtId="0" xfId="0" applyFont="1" applyFill="1" applyBorder="1" applyAlignment="1" quotePrefix="0" pivotButton="0">
      <alignment horizontal="center" vertical="center" wrapText="1"/>
    </xf>
    <xf fontId="4" fillId="4" borderId="1" numFmtId="0" xfId="0" applyFont="1" applyFill="1" applyBorder="1" applyAlignment="1" quotePrefix="0" pivotButton="0">
      <alignment horizontal="left" vertical="center" wrapText="1"/>
    </xf>
    <xf fontId="0" fillId="0" borderId="4" numFmtId="0" xfId="0" applyBorder="1" quotePrefix="0" pivotButton="0"/>
    <xf fontId="4" fillId="5" borderId="1" numFmtId="0" xfId="0" applyFont="1" applyFill="1" applyBorder="1" applyAlignment="1" quotePrefix="0" pivotButton="0">
      <alignment horizontal="left" vertical="center" wrapText="1"/>
    </xf>
    <xf fontId="5" fillId="5" borderId="1" numFmtId="0" xfId="0" applyFont="1" applyFill="1" applyBorder="1" applyAlignment="1" quotePrefix="0" pivotButton="0">
      <alignment horizontal="left" vertical="center" wrapText="1"/>
    </xf>
    <xf fontId="6" fillId="2" borderId="1" numFmtId="0" xfId="0" applyFont="1" applyFill="1" applyBorder="1" applyAlignment="1" quotePrefix="0" pivotButton="0">
      <alignment horizontal="center" vertical="center" wrapText="1"/>
    </xf>
    <xf fontId="3" fillId="2" borderId="5" numFmtId="0" xfId="0" applyFont="1" applyFill="1" applyBorder="1" applyAlignment="1" quotePrefix="0" pivotButton="0">
      <alignment horizontal="center" vertical="center" wrapText="1"/>
    </xf>
    <xf fontId="3" fillId="6" borderId="5" numFmtId="0" xfId="0" applyFont="1" applyFill="1" applyBorder="1" applyAlignment="1" quotePrefix="0" pivotButton="0">
      <alignment horizontal="center" vertical="center" wrapText="1"/>
    </xf>
    <xf fontId="7" fillId="4" borderId="5" numFmtId="0" xfId="0" applyFont="1" applyFill="1" applyBorder="1" applyAlignment="1" quotePrefix="0" pivotButton="0">
      <alignment horizontal="left" vertical="center" wrapText="1"/>
    </xf>
    <xf fontId="8" fillId="4" borderId="5" numFmtId="0" xfId="0" applyFont="1" applyFill="1" applyBorder="1" applyAlignment="1" quotePrefix="0" pivotButton="0">
      <alignment horizontal="center" vertical="center" wrapText="1"/>
    </xf>
    <xf fontId="9" fillId="4" borderId="5" numFmtId="0" xfId="0" applyFont="1" applyFill="1" applyBorder="1" applyAlignment="1" quotePrefix="0" pivotButton="0">
      <alignment horizontal="center" vertical="center" wrapText="1"/>
    </xf>
    <xf fontId="9" fillId="7" borderId="5" numFmtId="0" xfId="0" applyFont="1" applyFill="1" applyBorder="1" applyAlignment="1" quotePrefix="0" pivotButton="0">
      <alignment horizontal="center" vertical="center" wrapText="1"/>
    </xf>
    <xf fontId="10" fillId="8" borderId="5" numFmtId="0" xfId="0" applyFont="1" applyFill="1" applyBorder="1" applyAlignment="1" quotePrefix="0" pivotButton="0">
      <alignment horizontal="center" vertical="center" wrapText="1"/>
    </xf>
    <xf fontId="7" fillId="9" borderId="5" numFmtId="0" xfId="0" applyFont="1" applyFill="1" applyBorder="1" applyAlignment="1" quotePrefix="0" pivotButton="0">
      <alignment horizontal="left" vertical="center" wrapText="1"/>
    </xf>
    <xf fontId="8" fillId="10" borderId="5" numFmtId="0" xfId="0" applyFont="1" applyFill="1" applyBorder="1" applyAlignment="1" quotePrefix="0" pivotButton="0">
      <alignment horizontal="center" vertical="center" wrapText="1"/>
    </xf>
    <xf fontId="9" fillId="9" borderId="5" numFmtId="0" xfId="0" applyFont="1" applyFill="1" applyBorder="1" applyAlignment="1" quotePrefix="0" pivotButton="0">
      <alignment horizontal="center" vertical="center" wrapText="1"/>
    </xf>
    <xf fontId="11" fillId="11" borderId="0" numFmtId="0" xfId="0" applyFont="1" applyFill="1" applyAlignment="1" quotePrefix="0" pivotButton="0">
      <alignment horizontal="left" vertical="center"/>
    </xf>
    <xf fontId="12" fillId="4" borderId="5" numFmtId="0" xfId="0" applyFont="1" applyFill="1" applyBorder="1" applyAlignment="1" quotePrefix="0" pivotButton="0">
      <alignment horizontal="center" vertical="center" wrapText="1"/>
    </xf>
    <xf fontId="13" fillId="4" borderId="5" numFmtId="0" xfId="0" applyFont="1" applyFill="1" applyBorder="1" applyAlignment="1" quotePrefix="0" pivotButton="0">
      <alignment horizontal="center" vertical="center" wrapText="1"/>
    </xf>
    <xf fontId="14" fillId="4" borderId="5" numFmtId="164" xfId="0" applyNumberFormat="1" applyFont="1" applyFill="1" applyBorder="1" applyAlignment="1" quotePrefix="0" pivotButton="0">
      <alignment horizontal="center" vertical="center" wrapText="1"/>
    </xf>
    <xf fontId="15" fillId="4" borderId="5" numFmtId="164" xfId="0" applyNumberFormat="1" applyFont="1" applyFill="1" applyBorder="1" applyAlignment="1" quotePrefix="0" pivotButton="0">
      <alignment horizontal="center" vertical="center" wrapText="1"/>
    </xf>
    <xf fontId="13" fillId="9" borderId="5" numFmtId="0" xfId="0" applyFont="1" applyFill="1" applyBorder="1" applyAlignment="1" quotePrefix="0" pivotButton="0">
      <alignment horizontal="center" vertical="center" wrapText="1"/>
    </xf>
    <xf fontId="14" fillId="9" borderId="5" numFmtId="164" xfId="0" applyNumberFormat="1" applyFont="1" applyFill="1" applyBorder="1" applyAlignment="1" quotePrefix="0" pivotButton="0">
      <alignment horizontal="center" vertical="center" wrapText="1"/>
    </xf>
    <xf fontId="15" fillId="9" borderId="5" numFmtId="164" xfId="0" applyNumberFormat="1" applyFont="1" applyFill="1" applyBorder="1" applyAlignment="1" quotePrefix="0" pivotButton="0">
      <alignment horizontal="center" vertical="center" wrapText="1"/>
    </xf>
    <xf fontId="16" fillId="7" borderId="1" numFmtId="0" xfId="0" applyFont="1" applyFill="1" applyBorder="1" applyAlignment="1" quotePrefix="0" pivotButton="0">
      <alignment horizontal="left" vertical="center" wrapText="1"/>
    </xf>
    <xf fontId="17" fillId="12" borderId="5" numFmtId="0" xfId="0" applyFont="1" applyFill="1" applyBorder="1" applyAlignment="1" quotePrefix="0" pivotButton="0">
      <alignment horizontal="center" vertical="center" wrapText="1"/>
    </xf>
    <xf fontId="18" fillId="4" borderId="5" numFmtId="164" xfId="0" applyNumberFormat="1" applyFont="1" applyFill="1" applyBorder="1" applyAlignment="1" quotePrefix="0" pivotButton="0">
      <alignment horizontal="center" vertical="center" wrapText="1"/>
    </xf>
    <xf fontId="18" fillId="9" borderId="5" numFmtId="164" xfId="0" applyNumberFormat="1" applyFont="1" applyFill="1" applyBorder="1" applyAlignment="1" quotePrefix="0" pivotButton="0">
      <alignment horizontal="center" vertical="center" wrapText="1"/>
    </xf>
    <xf fontId="19" fillId="2" borderId="5" numFmtId="0" xfId="0" applyFont="1" applyFill="1" applyBorder="1" applyAlignment="1" quotePrefix="0" pivotButton="0">
      <alignment horizontal="center" vertical="center" wrapText="1"/>
    </xf>
    <xf fontId="7" fillId="7" borderId="5" numFmtId="0" xfId="0" applyFont="1" applyFill="1" applyBorder="1" applyAlignment="1" quotePrefix="0" pivotButton="0">
      <alignment horizontal="center" vertical="center" wrapText="1"/>
    </xf>
    <xf fontId="7" fillId="4" borderId="5" numFmtId="0" xfId="0" applyFont="1" applyFill="1" applyBorder="1" applyAlignment="1" quotePrefix="0" pivotButton="0">
      <alignment horizontal="center" vertical="center" wrapText="1"/>
    </xf>
    <xf fontId="20" fillId="4" borderId="5" numFmtId="0" xfId="0" applyFont="1" applyFill="1" applyBorder="1" applyAlignment="1" quotePrefix="0" pivotButton="0">
      <alignment horizontal="center" vertical="center" wrapText="1"/>
    </xf>
    <xf fontId="21" fillId="7" borderId="5" numFmtId="0" xfId="0" applyFont="1" applyFill="1" applyBorder="1" applyAlignment="1" quotePrefix="0" pivotButton="0">
      <alignment horizontal="center" vertical="center" wrapText="1"/>
    </xf>
    <xf fontId="22" fillId="7" borderId="5" numFmtId="0" xfId="0" applyFont="1" applyFill="1" applyBorder="1" applyAlignment="1" quotePrefix="0" pivotButton="0">
      <alignment horizontal="center" vertical="center" wrapText="1"/>
    </xf>
    <xf fontId="23" fillId="7" borderId="5" numFmtId="0" xfId="0" applyFont="1" applyFill="1" applyBorder="1" applyAlignment="1" quotePrefix="0" pivotButton="0">
      <alignment horizontal="left" vertical="center" wrapText="1"/>
    </xf>
    <xf fontId="7" fillId="9" borderId="5" numFmtId="0" xfId="0" applyFont="1" applyFill="1" applyBorder="1" applyAlignment="1" quotePrefix="0" pivotButton="0">
      <alignment horizontal="center" vertical="center" wrapText="1"/>
    </xf>
    <xf fontId="20" fillId="9" borderId="5" numFmtId="0" xfId="0" applyFont="1" applyFill="1" applyBorder="1" applyAlignment="1" quotePrefix="0" pivotButton="0">
      <alignment horizontal="center" vertical="center" wrapText="1"/>
    </xf>
    <xf fontId="3" fillId="2" borderId="1" numFmtId="0" xfId="0" applyFont="1" applyFill="1" applyBorder="1" applyAlignment="1" quotePrefix="0" pivotButton="0">
      <alignment horizontal="left" vertical="center" wrapText="1"/>
    </xf>
    <xf fontId="23" fillId="4" borderId="1" numFmtId="0" xfId="0" applyFont="1" applyFill="1" applyBorder="1" applyAlignment="1" quotePrefix="0" pivotButton="0">
      <alignment horizontal="left" vertical="center" wrapText="1"/>
    </xf>
    <xf fontId="23" fillId="9" borderId="1" numFmtId="0" xfId="0" applyFont="1" applyFill="1" applyBorder="1" applyAlignment="1" quotePrefix="0" pivotButton="0">
      <alignment horizontal="left" vertical="center" wrapText="1"/>
    </xf>
    <xf fontId="7" fillId="12" borderId="5" numFmtId="0" xfId="0" applyFont="1" applyFill="1" applyBorder="1" applyAlignment="1" quotePrefix="0" pivotButton="0">
      <alignment horizontal="left" vertical="center" wrapText="1"/>
    </xf>
    <xf fontId="23" fillId="12" borderId="1" numFmtId="0" xfId="0" applyFont="1" applyFill="1" applyBorder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/Relationships>
</file>

<file path=xl/charts/_rels/chart4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strike="noStrike"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latin typeface="Calibri"/>
              </a:rPr>
              <a:t>Factorial: Tiempo de Ejecucion vs. Tamaño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1B3A6B"/>
              </a:solidFill>
              <a:prstDash val="solid"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1B3A6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C0392B"/>
              </a:solidFill>
              <a:prstDash val="solid"/>
              <a:round/>
            </a:ln>
          </c:spPr>
          <c:marker>
            <c:symbol val="triangle"/>
            <c:size val="5"/>
            <c:spPr bwMode="auto">
              <a:prstGeom prst="rect">
                <a:avLst/>
              </a:prstGeom>
              <a:solidFill>
                <a:srgbClr val="C0392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  <a:prstDash val="solid"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Tiempo (ms)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45494455"/>
        <c:crosses val="autoZero"/>
        <c:crossBetween val="between"/>
      </c:valAx>
    </c:plotArea>
    <c:legend>
      <c:legendPos val="t"/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/>
    <a:prstGeom prst="rect">
      <a:avLst/>
    </a:prstGeom>
    <a:solidFill>
      <a:srgbClr val="FFFFFF"/>
    </a:solidFill>
    <a:ln w="9360">
      <a:solidFill>
        <a:srgbClr val="D9D9D9"/>
      </a:solidFill>
      <a:prstDash val="solid"/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strike="noStrike"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latin typeface="Calibri"/>
              </a:rPr>
              <a:t>Fibonacci: Tiempo de Ejecucion vs. Tamaño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1B3A6B"/>
              </a:solidFill>
              <a:prstDash val="solid"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1B3A6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C0392B"/>
              </a:solidFill>
              <a:prstDash val="solid"/>
              <a:round/>
            </a:ln>
          </c:spPr>
          <c:marker>
            <c:symbol val="triangle"/>
            <c:size val="5"/>
            <c:spPr bwMode="auto">
              <a:prstGeom prst="rect">
                <a:avLst/>
              </a:prstGeom>
              <a:solidFill>
                <a:srgbClr val="C0392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  <a:prstDash val="solid"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Tiempo (ms)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8528611"/>
        <c:crosses val="autoZero"/>
        <c:crossBetween val="between"/>
      </c:valAx>
    </c:plotArea>
    <c:legend>
      <c:legendPos val="t"/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/>
    <a:prstGeom prst="rect">
      <a:avLst/>
    </a:prstGeom>
    <a:solidFill>
      <a:srgbClr val="FFFFFF"/>
    </a:solidFill>
    <a:ln w="9360">
      <a:solidFill>
        <a:srgbClr val="D9D9D9"/>
      </a:solidFill>
      <a:prstDash val="solid"/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strike="noStrike"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latin typeface="Calibri"/>
              </a:rPr>
              <a:t>Busqueda Lineal: Tiempo de Ejecucion vs. Tamano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1B3A6B"/>
              </a:solidFill>
              <a:prstDash val="solid"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1B3A6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C0392B"/>
              </a:solidFill>
              <a:prstDash val="solid"/>
              <a:round/>
            </a:ln>
          </c:spPr>
          <c:marker>
            <c:symbol val="triangle"/>
            <c:size val="5"/>
            <c:spPr bwMode="auto">
              <a:prstGeom prst="rect">
                <a:avLst/>
              </a:prstGeom>
              <a:solidFill>
                <a:srgbClr val="C0392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  <a:prstDash val="solid"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Tiempo (ms)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1784547"/>
        <c:crosses val="autoZero"/>
        <c:crossBetween val="between"/>
      </c:valAx>
    </c:plotArea>
    <c:legend>
      <c:legendPos val="t"/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/>
    <a:prstGeom prst="rect">
      <a:avLst/>
    </a:prstGeom>
    <a:solidFill>
      <a:srgbClr val="FFFFFF"/>
    </a:solidFill>
    <a:ln w="9360">
      <a:solidFill>
        <a:srgbClr val="D9D9D9"/>
      </a:solidFill>
      <a:prstDash val="solid"/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300" b="0" strike="noStrike"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latin typeface="Calibri"/>
              </a:rPr>
              <a:t>Burbuja: Tiempo de Ejecucion vs. Tamano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1B3A6B"/>
              </a:solidFill>
              <a:prstDash val="solid"/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rgbClr val="1B3A6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 bwMode="auto">
            <a:prstGeom prst="rect">
              <a:avLst/>
            </a:prstGeom>
            <a:ln w="20160">
              <a:solidFill>
                <a:srgbClr val="C0392B"/>
              </a:solidFill>
              <a:prstDash val="solid"/>
              <a:round/>
            </a:ln>
          </c:spPr>
          <c:marker>
            <c:symbol val="triangle"/>
            <c:size val="5"/>
            <c:spPr bwMode="auto">
              <a:prstGeom prst="rect">
                <a:avLst/>
              </a:prstGeom>
              <a:solidFill>
                <a:srgbClr val="C0392B"/>
              </a:solidFill>
              <a:ln>
                <a:prstDash val="solid"/>
              </a:ln>
            </c:spPr>
          </c:marker>
          <c:dLbls>
            <c:showBubbleSize val="1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>
                    <a:latin typeface="Arial"/>
                  </a:defRPr>
                </a:pPr>
                <a:endParaRPr/>
              </a:p>
            </c:txPr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hiLowLines>
          <c:spPr bwMode="auto">
            <a:prstGeom prst="rect">
              <a:avLst/>
            </a:prstGeom>
            <a:ln w="0">
              <a:noFill/>
              <a:prstDash val="solid"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Tamano de entrada (n)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latin typeface="Calibri"/>
                  </a:rPr>
                  <a:t>Tiempo (ms)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 w="0">
              <a:noFill/>
              <a:prstDash val="solid"/>
            </a:ln>
          </c:spPr>
        </c:title>
        <c:numFmt formatCode="0.000000" sourceLinked="0"/>
        <c:majorTickMark val="none"/>
        <c:minorTickMark val="none"/>
        <c:tickLblPos val="nextTo"/>
        <c:spPr bwMode="auto">
          <a:prstGeom prst="rect">
            <a:avLst/>
          </a:prstGeom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latin typeface="Calibri"/>
              </a:defRPr>
            </a:pPr>
            <a:endParaRPr/>
          </a:p>
        </c:txPr>
        <c:crossAx val="11551171"/>
        <c:crosses val="autoZero"/>
        <c:crossBetween val="between"/>
      </c:valAx>
    </c:plotArea>
    <c:legend>
      <c:legendPos val="t"/>
      <c:layout/>
      <c:overlay val="0"/>
      <c:spPr bwMode="auto">
        <a:prstGeom prst="rect">
          <a:avLst/>
        </a:prstGeom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latin typeface="Calibri"/>
            </a:defRPr>
          </a:pPr>
          <a:endParaRPr/>
        </a:p>
      </c:txPr>
    </c:legend>
    <c:plotVisOnly val="1"/>
    <c:dispBlanksAs val="gap"/>
    <c:showDLblsOverMax val="0"/>
  </c:chart>
  <c:spPr bwMode="auto">
    <a:xfrm rot="0"/>
    <a:prstGeom prst="rect">
      <a:avLst/>
    </a:prstGeom>
    <a:solidFill>
      <a:srgbClr val="FFFFFF"/>
    </a:solidFill>
    <a:ln w="9360">
      <a:solidFill>
        <a:srgbClr val="D9D9D9"/>
      </a:solidFill>
      <a:prstDash val="solid"/>
      <a:round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80999</xdr:rowOff>
    </xdr:to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80999</xdr:rowOff>
    </xdr:to>
    <xdr:graphicFrame>
      <xdr:nvGraphicFramePr>
        <xdr:cNvPr id="1" name="Chart 1"/>
        <xdr:cNvGraphicFramePr>
          <a:graphicFrameLocks xmlns:a="http://schemas.openxmlformats.org/drawingml/2006/main"/>
        </xdr:cNvGraphicFramePr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7" zoomScale="100" workbookViewId="0">
      <selection activeCell="A1" activeCellId="0" sqref="A1"/>
    </sheetView>
  </sheetViews>
  <sheetFormatPr baseColWidth="10" defaultColWidth="8.6640625" defaultRowHeight="15" customHeight="1"/>
  <cols>
    <col customWidth="1" min="1" max="1" style="1" width="3"/>
    <col customWidth="1" min="2" max="2" style="1" width="28"/>
    <col customWidth="1" min="3" max="3" style="1" width="60"/>
    <col customWidth="1" min="4" max="4" style="1" width="20"/>
  </cols>
  <sheetData>
    <row r="1" ht="6" customHeight="1">
      <c r="A1" s="2"/>
    </row>
    <row r="2" ht="36" customHeight="1">
      <c r="B2" s="3" t="s">
        <v>0</v>
      </c>
      <c r="C2" s="4"/>
      <c r="D2" s="4"/>
    </row>
    <row r="3" ht="21.75" customHeight="1">
      <c r="B3" s="5" t="s">
        <v>1</v>
      </c>
      <c r="C3" s="4"/>
      <c r="D3" s="4"/>
    </row>
    <row r="4" ht="9.75" customHeight="1"/>
    <row r="5" ht="52.5" customHeight="1">
      <c r="B5" s="6" t="s">
        <v>2</v>
      </c>
      <c r="C5" s="7" t="s">
        <v>3</v>
      </c>
      <c r="D5" s="4"/>
    </row>
    <row r="6" ht="60" customHeight="1">
      <c r="B6" s="8"/>
    </row>
    <row r="7" ht="6" customHeight="1"/>
    <row r="8" ht="96" customHeight="1">
      <c r="B8" s="6" t="s">
        <v>4</v>
      </c>
      <c r="C8" s="9" t="s">
        <v>5</v>
      </c>
      <c r="D8" s="4"/>
    </row>
    <row r="9" ht="117.75" customHeight="1">
      <c r="B9" s="8"/>
    </row>
    <row r="10" ht="6" customHeight="1"/>
    <row r="11" ht="27.75" customHeight="1">
      <c r="B11" s="6" t="s">
        <v>6</v>
      </c>
      <c r="C11" s="9" t="s">
        <v>7</v>
      </c>
      <c r="D11" s="4"/>
    </row>
    <row r="12" ht="81.75" customHeight="1">
      <c r="B12" s="8"/>
    </row>
    <row r="13" ht="6" customHeight="1"/>
    <row r="14" ht="82.5" customHeight="1">
      <c r="B14" s="6" t="s">
        <v>8</v>
      </c>
      <c r="C14" s="10" t="s">
        <v>9</v>
      </c>
      <c r="D14" s="4"/>
    </row>
    <row r="15" ht="99.75" customHeight="1">
      <c r="B15" s="8"/>
    </row>
    <row r="16" ht="6" customHeight="1"/>
    <row r="17" ht="67.5" customHeight="1">
      <c r="B17" s="6" t="s">
        <v>10</v>
      </c>
      <c r="C17" s="7" t="s">
        <v>11</v>
      </c>
      <c r="D17" s="4"/>
    </row>
    <row r="18" ht="99.75" customHeight="1">
      <c r="B18" s="8"/>
    </row>
    <row r="19" ht="6" customHeight="1"/>
    <row r="20" ht="75.75" customHeight="1">
      <c r="B20" s="6" t="s">
        <v>12</v>
      </c>
      <c r="C20" s="9" t="s">
        <v>13</v>
      </c>
      <c r="D20" s="4"/>
    </row>
    <row r="21" ht="81.75" customHeight="1">
      <c r="B21" s="8"/>
    </row>
    <row r="22" ht="6" customHeight="1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14:B15"/>
    <mergeCell ref="C14:D14"/>
    <mergeCell ref="C15:D15"/>
    <mergeCell ref="B17:B18"/>
    <mergeCell ref="C17:D17"/>
    <mergeCell ref="C18:D18"/>
    <mergeCell ref="B20:B21"/>
    <mergeCell ref="C20:D20"/>
    <mergeCell ref="C21:D2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pane ySplit="2" topLeftCell="A3" activePane="bottomLeft" state="frozen"/>
      <selection activeCell="N40" activeCellId="0" sqref="N40"/>
    </sheetView>
  </sheetViews>
  <sheetFormatPr baseColWidth="10" defaultColWidth="8.6640625" defaultRowHeight="15" customHeight="1"/>
  <cols>
    <col customWidth="1" min="1" max="1" style="1" width="3"/>
    <col customWidth="1" min="2" max="2" style="1" width="22"/>
    <col customWidth="1" min="3" max="3" style="1" width="14"/>
    <col customWidth="1" min="4" max="9" style="1" width="12"/>
    <col customWidth="1" min="10" max="10" style="1" width="14"/>
    <col customWidth="1" min="11" max="11" style="1" width="3"/>
  </cols>
  <sheetData>
    <row r="1" ht="33.75" customHeight="1">
      <c r="B1" s="11" t="s">
        <v>14</v>
      </c>
      <c r="C1" s="4"/>
      <c r="D1" s="4"/>
      <c r="E1" s="4"/>
      <c r="F1" s="4"/>
      <c r="G1" s="4"/>
      <c r="H1" s="4"/>
      <c r="I1" s="4"/>
    </row>
    <row r="2" ht="36" customHeight="1">
      <c r="B2" s="12" t="s">
        <v>15</v>
      </c>
      <c r="C2" s="12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3" t="s">
        <v>23</v>
      </c>
    </row>
    <row r="3" ht="18" customHeight="1">
      <c r="B3" s="14" t="s">
        <v>24</v>
      </c>
      <c r="C3" s="15" t="s">
        <v>25</v>
      </c>
      <c r="D3" s="16">
        <v>5</v>
      </c>
      <c r="E3" s="17">
        <v>0.00059900000000000003</v>
      </c>
      <c r="F3" s="17">
        <v>0.00053399999999999997</v>
      </c>
      <c r="G3" s="17">
        <v>0.00063400000000000001</v>
      </c>
      <c r="H3" s="17">
        <v>0.00095100000000000002</v>
      </c>
      <c r="I3" s="17">
        <v>0.001142</v>
      </c>
      <c r="J3" s="18">
        <f t="shared" ref="J3:J9" si="0">AVERAGE(E3:I3)</f>
        <v>0.0007719999999999999</v>
      </c>
    </row>
    <row r="4" ht="18" customHeight="1">
      <c r="B4" s="14" t="s">
        <v>24</v>
      </c>
      <c r="C4" s="15" t="s">
        <v>25</v>
      </c>
      <c r="D4" s="16">
        <v>10</v>
      </c>
      <c r="E4" s="17">
        <v>0.000272</v>
      </c>
      <c r="F4" s="17">
        <v>0.00026800000000000001</v>
      </c>
      <c r="G4" s="17">
        <v>0.00026200000000000003</v>
      </c>
      <c r="H4" s="17">
        <v>0.00031500000000000001</v>
      </c>
      <c r="I4" s="17">
        <v>0.00028800000000000001</v>
      </c>
      <c r="J4" s="18">
        <f t="shared" si="0"/>
        <v>0.000281</v>
      </c>
    </row>
    <row r="5" ht="18" customHeight="1">
      <c r="B5" s="14" t="s">
        <v>24</v>
      </c>
      <c r="C5" s="15" t="s">
        <v>25</v>
      </c>
      <c r="D5" s="16">
        <v>15</v>
      </c>
      <c r="E5" s="17">
        <v>0.00032899999999999997</v>
      </c>
      <c r="F5" s="17">
        <v>0.00032000000000000003</v>
      </c>
      <c r="G5" s="17">
        <v>0.00044099999999999999</v>
      </c>
      <c r="H5" s="17">
        <v>0.00038299999999999999</v>
      </c>
      <c r="I5" s="17">
        <v>0.00033599999999999998</v>
      </c>
      <c r="J5" s="18">
        <f t="shared" si="0"/>
        <v>0.00036179999999999996</v>
      </c>
    </row>
    <row r="6" ht="18" customHeight="1">
      <c r="B6" s="14" t="s">
        <v>24</v>
      </c>
      <c r="C6" s="15" t="s">
        <v>25</v>
      </c>
      <c r="D6" s="16">
        <v>20</v>
      </c>
      <c r="E6" s="17">
        <v>0.00036499999999999998</v>
      </c>
      <c r="F6" s="17">
        <v>0.00036200000000000002</v>
      </c>
      <c r="G6" s="17">
        <v>0.00052899999999999996</v>
      </c>
      <c r="H6" s="17">
        <v>0.00042900000000000002</v>
      </c>
      <c r="I6" s="17">
        <v>0.00038400000000000001</v>
      </c>
      <c r="J6" s="18">
        <f t="shared" si="0"/>
        <v>0.00041379999999999992</v>
      </c>
    </row>
    <row r="7" ht="18" customHeight="1">
      <c r="B7" s="14" t="s">
        <v>24</v>
      </c>
      <c r="C7" s="15" t="s">
        <v>25</v>
      </c>
      <c r="D7" s="16">
        <v>25</v>
      </c>
      <c r="E7" s="17">
        <v>0.00035799999999999997</v>
      </c>
      <c r="F7" s="17">
        <v>0.00035799999999999997</v>
      </c>
      <c r="G7" s="17">
        <v>0.00054900000000000001</v>
      </c>
      <c r="H7" s="17">
        <v>0.00043100000000000001</v>
      </c>
      <c r="I7" s="17">
        <v>0.00038699999999999997</v>
      </c>
      <c r="J7" s="18">
        <f t="shared" si="0"/>
        <v>0.00041659999999999993</v>
      </c>
    </row>
    <row r="8" ht="18" customHeight="1">
      <c r="B8" s="14" t="s">
        <v>24</v>
      </c>
      <c r="C8" s="15" t="s">
        <v>25</v>
      </c>
      <c r="D8" s="16">
        <v>30</v>
      </c>
      <c r="E8" s="17">
        <v>0.00036099999999999999</v>
      </c>
      <c r="F8" s="17">
        <v>0.000388</v>
      </c>
      <c r="G8" s="17">
        <v>0.00054000000000000001</v>
      </c>
      <c r="H8" s="17">
        <v>0.000359</v>
      </c>
      <c r="I8" s="17">
        <v>0.00039399999999999998</v>
      </c>
      <c r="J8" s="18">
        <f t="shared" si="0"/>
        <v>0.00040840000000000001</v>
      </c>
    </row>
    <row r="9" ht="18" customHeight="1">
      <c r="B9" s="19" t="s">
        <v>24</v>
      </c>
      <c r="C9" s="20" t="s">
        <v>26</v>
      </c>
      <c r="D9" s="21">
        <v>5</v>
      </c>
      <c r="E9" s="17">
        <v>0.002849</v>
      </c>
      <c r="F9" s="17">
        <v>0.0024580000000000001</v>
      </c>
      <c r="G9" s="17">
        <v>0.0040720000000000001</v>
      </c>
      <c r="H9" s="17">
        <v>0.0026389999999999999</v>
      </c>
      <c r="I9" s="17">
        <v>0.004914</v>
      </c>
      <c r="J9" s="18">
        <f t="shared" si="0"/>
        <v>0.0033864000000000003</v>
      </c>
    </row>
    <row r="10" ht="18" customHeight="1">
      <c r="B10" s="19" t="s">
        <v>24</v>
      </c>
      <c r="C10" s="20" t="s">
        <v>26</v>
      </c>
      <c r="D10" s="21">
        <v>10</v>
      </c>
      <c r="E10" s="17">
        <v>0.00081599999999999999</v>
      </c>
      <c r="F10" s="17">
        <v>0.00053499999999999999</v>
      </c>
      <c r="G10" s="17">
        <v>0.00078200000000000003</v>
      </c>
      <c r="H10" s="17">
        <v>0.00053700000000000004</v>
      </c>
      <c r="I10" s="17">
        <v>0.00080699999999999999</v>
      </c>
      <c r="J10" s="18">
        <f t="shared" ref="J10:J49" si="1">AVERAGE(E10:I10)</f>
        <v>0.00069539999999999999</v>
      </c>
    </row>
    <row r="11" ht="18" customHeight="1">
      <c r="B11" s="19" t="s">
        <v>24</v>
      </c>
      <c r="C11" s="20" t="s">
        <v>26</v>
      </c>
      <c r="D11" s="21">
        <v>15</v>
      </c>
      <c r="E11" s="17">
        <v>0.001407</v>
      </c>
      <c r="F11" s="17">
        <v>0.00086700000000000004</v>
      </c>
      <c r="G11" s="17">
        <v>0.0011720000000000001</v>
      </c>
      <c r="H11" s="17">
        <v>0.003823</v>
      </c>
      <c r="I11" s="17">
        <v>0.00092199999999999997</v>
      </c>
      <c r="J11" s="18">
        <f t="shared" si="1"/>
        <v>0.0016382</v>
      </c>
    </row>
    <row r="12" ht="18" customHeight="1">
      <c r="B12" s="19" t="s">
        <v>24</v>
      </c>
      <c r="C12" s="20" t="s">
        <v>26</v>
      </c>
      <c r="D12" s="21">
        <v>20</v>
      </c>
      <c r="E12" s="17">
        <v>0.00047600000000000002</v>
      </c>
      <c r="F12" s="17">
        <v>0.00028200000000000002</v>
      </c>
      <c r="G12" s="17">
        <v>0.00026899999999999998</v>
      </c>
      <c r="H12" s="17">
        <v>0.00025999999999999998</v>
      </c>
      <c r="I12" s="17">
        <v>0.0023050000000000002</v>
      </c>
      <c r="J12" s="18">
        <f t="shared" si="1"/>
        <v>0.00071840000000000001</v>
      </c>
    </row>
    <row r="13" ht="18" customHeight="1">
      <c r="B13" s="19" t="s">
        <v>24</v>
      </c>
      <c r="C13" s="20" t="s">
        <v>26</v>
      </c>
      <c r="D13" s="21">
        <v>25</v>
      </c>
      <c r="E13" s="17">
        <v>0.00038699999999999997</v>
      </c>
      <c r="F13" s="17">
        <v>0.000272</v>
      </c>
      <c r="G13" s="17">
        <v>0.00026800000000000001</v>
      </c>
      <c r="H13" s="17">
        <v>0.00025300000000000002</v>
      </c>
      <c r="I13" s="17">
        <v>0.00027500000000000002</v>
      </c>
      <c r="J13" s="18">
        <f t="shared" si="1"/>
        <v>0.00029100000000000003</v>
      </c>
    </row>
    <row r="14" ht="18" customHeight="1">
      <c r="B14" s="19" t="s">
        <v>24</v>
      </c>
      <c r="C14" s="20" t="s">
        <v>26</v>
      </c>
      <c r="D14" s="21">
        <v>30</v>
      </c>
      <c r="E14" s="17">
        <v>0.00045199999999999998</v>
      </c>
      <c r="F14" s="17">
        <v>0.00027500000000000002</v>
      </c>
      <c r="G14" s="17">
        <v>0.00026499999999999999</v>
      </c>
      <c r="H14" s="17">
        <v>0.00025000000000000001</v>
      </c>
      <c r="I14" s="17">
        <v>0.00027700000000000001</v>
      </c>
      <c r="J14" s="18">
        <f t="shared" si="1"/>
        <v>0.00030380000000000001</v>
      </c>
    </row>
    <row r="16" ht="18" customHeight="1">
      <c r="B16" s="14" t="s">
        <v>27</v>
      </c>
      <c r="C16" s="15" t="s">
        <v>25</v>
      </c>
      <c r="D16" s="16">
        <v>5</v>
      </c>
      <c r="E16" s="17">
        <v>0.00051900000000000004</v>
      </c>
      <c r="F16" s="17">
        <v>0.00045300000000000001</v>
      </c>
      <c r="G16" s="17">
        <v>0.00040499999999999998</v>
      </c>
      <c r="H16" s="17">
        <v>0.000426</v>
      </c>
      <c r="I16" s="17">
        <v>0.00054299999999999997</v>
      </c>
      <c r="J16" s="18">
        <f t="shared" si="1"/>
        <v>0.00046920000000000002</v>
      </c>
    </row>
    <row r="17" ht="18" customHeight="1">
      <c r="B17" s="14" t="s">
        <v>27</v>
      </c>
      <c r="C17" s="15" t="s">
        <v>25</v>
      </c>
      <c r="D17" s="16">
        <v>10</v>
      </c>
      <c r="E17" s="17">
        <v>0.000301</v>
      </c>
      <c r="F17" s="17">
        <v>0.00028699999999999998</v>
      </c>
      <c r="G17" s="17">
        <v>0.00039399999999999998</v>
      </c>
      <c r="H17" s="17">
        <v>0.00046799999999999999</v>
      </c>
      <c r="I17" s="17">
        <v>0.00033599999999999998</v>
      </c>
      <c r="J17" s="18">
        <f t="shared" si="1"/>
        <v>0.00035719999999999995</v>
      </c>
    </row>
    <row r="18" ht="18" customHeight="1">
      <c r="B18" s="14" t="s">
        <v>27</v>
      </c>
      <c r="C18" s="15" t="s">
        <v>25</v>
      </c>
      <c r="D18" s="16">
        <v>15</v>
      </c>
      <c r="E18" s="17">
        <v>0.00039300000000000001</v>
      </c>
      <c r="F18" s="17">
        <v>0.000377</v>
      </c>
      <c r="G18" s="17">
        <v>0.000379</v>
      </c>
      <c r="H18" s="17">
        <v>0.00039500000000000001</v>
      </c>
      <c r="I18" s="17">
        <v>0.00038299999999999999</v>
      </c>
      <c r="J18" s="18">
        <f t="shared" si="1"/>
        <v>0.00038539999999999999</v>
      </c>
    </row>
    <row r="19" ht="18" customHeight="1">
      <c r="B19" s="14" t="s">
        <v>27</v>
      </c>
      <c r="C19" s="15" t="s">
        <v>25</v>
      </c>
      <c r="D19" s="16">
        <v>20</v>
      </c>
      <c r="E19" s="17">
        <v>0.00045899999999999999</v>
      </c>
      <c r="F19" s="17">
        <v>0.000428</v>
      </c>
      <c r="G19" s="17">
        <v>0.00059900000000000003</v>
      </c>
      <c r="H19" s="17">
        <v>0.00045899999999999999</v>
      </c>
      <c r="I19" s="17">
        <v>0.000446</v>
      </c>
      <c r="J19" s="18">
        <f t="shared" si="1"/>
        <v>0.00047819999999999997</v>
      </c>
    </row>
    <row r="20" ht="18" customHeight="1">
      <c r="B20" s="14" t="s">
        <v>27</v>
      </c>
      <c r="C20" s="15" t="s">
        <v>25</v>
      </c>
      <c r="D20" s="16">
        <v>25</v>
      </c>
      <c r="E20" s="17">
        <v>0.00051599999999999997</v>
      </c>
      <c r="F20" s="17">
        <v>0.00057499999999999999</v>
      </c>
      <c r="G20" s="17">
        <v>0.00050199999999999995</v>
      </c>
      <c r="H20" s="17">
        <v>0.00052999999999999998</v>
      </c>
      <c r="I20" s="17">
        <v>0.000513</v>
      </c>
      <c r="J20" s="18">
        <f t="shared" si="1"/>
        <v>0.00052720000000000002</v>
      </c>
    </row>
    <row r="21" ht="18" customHeight="1">
      <c r="B21" s="14" t="s">
        <v>27</v>
      </c>
      <c r="C21" s="15" t="s">
        <v>25</v>
      </c>
      <c r="D21" s="16">
        <v>30</v>
      </c>
      <c r="E21" s="17">
        <v>0.00063199999999999997</v>
      </c>
      <c r="F21" s="17">
        <v>0.00062399999999999999</v>
      </c>
      <c r="G21" s="17">
        <v>0.00066799999999999997</v>
      </c>
      <c r="H21" s="17">
        <v>0.00067299999999999999</v>
      </c>
      <c r="I21" s="17">
        <v>0.00066</v>
      </c>
      <c r="J21" s="18">
        <f t="shared" si="1"/>
        <v>0.0006514</v>
      </c>
    </row>
    <row r="22" ht="18" customHeight="1">
      <c r="B22" s="19" t="s">
        <v>27</v>
      </c>
      <c r="C22" s="20" t="s">
        <v>26</v>
      </c>
      <c r="D22" s="21">
        <v>5</v>
      </c>
      <c r="E22" s="17">
        <v>0.00083699999999999996</v>
      </c>
      <c r="F22" s="17">
        <v>0.00081599999999999999</v>
      </c>
      <c r="G22" s="17">
        <v>0.00083900000000000001</v>
      </c>
      <c r="H22" s="17">
        <v>0.00090899999999999998</v>
      </c>
      <c r="I22" s="17">
        <v>0.00089800000000000004</v>
      </c>
      <c r="J22" s="18">
        <f t="shared" si="1"/>
        <v>0.00085979999999999997</v>
      </c>
    </row>
    <row r="23" ht="18" customHeight="1">
      <c r="B23" s="19" t="s">
        <v>27</v>
      </c>
      <c r="C23" s="20" t="s">
        <v>26</v>
      </c>
      <c r="D23" s="21">
        <v>10</v>
      </c>
      <c r="E23" s="17">
        <v>0.0069649999999999998</v>
      </c>
      <c r="F23" s="17">
        <v>0.010433</v>
      </c>
      <c r="G23" s="17">
        <v>0.010456</v>
      </c>
      <c r="H23" s="17">
        <v>0.0069769999999999997</v>
      </c>
      <c r="I23" s="17">
        <v>0.010293</v>
      </c>
      <c r="J23" s="18">
        <f t="shared" si="1"/>
        <v>0.0090247999999999995</v>
      </c>
    </row>
    <row r="24" ht="18" customHeight="1">
      <c r="B24" s="19" t="s">
        <v>27</v>
      </c>
      <c r="C24" s="20" t="s">
        <v>26</v>
      </c>
      <c r="D24" s="21">
        <v>15</v>
      </c>
      <c r="E24" s="17">
        <v>0.067296999999999996</v>
      </c>
      <c r="F24" s="17">
        <v>0.028763</v>
      </c>
      <c r="G24" s="17">
        <v>0.017194000000000001</v>
      </c>
      <c r="H24" s="17">
        <v>0.072539999999999993</v>
      </c>
      <c r="I24" s="17">
        <v>0.020205000000000001</v>
      </c>
      <c r="J24" s="18">
        <f t="shared" si="1"/>
        <v>0.041199799999999995</v>
      </c>
    </row>
    <row r="25" ht="18" customHeight="1">
      <c r="B25" s="19" t="s">
        <v>27</v>
      </c>
      <c r="C25" s="20" t="s">
        <v>26</v>
      </c>
      <c r="D25" s="21">
        <v>20</v>
      </c>
      <c r="E25" s="17">
        <v>0.058642</v>
      </c>
      <c r="F25" s="17">
        <v>0.104849</v>
      </c>
      <c r="G25" s="17">
        <v>0.15814600000000001</v>
      </c>
      <c r="H25" s="17">
        <v>0.059248000000000002</v>
      </c>
      <c r="I25" s="17">
        <v>0.104921</v>
      </c>
      <c r="J25" s="18">
        <f t="shared" si="1"/>
        <v>0.097161200000000003</v>
      </c>
    </row>
    <row r="26" ht="18" customHeight="1">
      <c r="B26" s="19" t="s">
        <v>27</v>
      </c>
      <c r="C26" s="20" t="s">
        <v>26</v>
      </c>
      <c r="D26" s="21">
        <v>25</v>
      </c>
      <c r="E26" s="17">
        <v>0.459617</v>
      </c>
      <c r="F26" s="17">
        <v>0.43312800000000001</v>
      </c>
      <c r="G26" s="17">
        <v>0.45622000000000001</v>
      </c>
      <c r="H26" s="17">
        <v>0.439469</v>
      </c>
      <c r="I26" s="17">
        <v>0.43482599999999999</v>
      </c>
      <c r="J26" s="18">
        <f t="shared" si="1"/>
        <v>0.44465200000000005</v>
      </c>
    </row>
    <row r="27" ht="18" customHeight="1">
      <c r="B27" s="19" t="s">
        <v>27</v>
      </c>
      <c r="C27" s="20" t="s">
        <v>26</v>
      </c>
      <c r="D27" s="21">
        <v>30</v>
      </c>
      <c r="E27" s="17">
        <v>4.895454</v>
      </c>
      <c r="F27" s="17">
        <v>4.8901779999999997</v>
      </c>
      <c r="G27" s="17">
        <v>4.8344519999999997</v>
      </c>
      <c r="H27" s="17">
        <v>4.8681570000000001</v>
      </c>
      <c r="I27" s="17">
        <v>4.9600819999999999</v>
      </c>
      <c r="J27" s="18">
        <f t="shared" si="1"/>
        <v>4.8896645999999997</v>
      </c>
    </row>
    <row r="29" ht="18" customHeight="1">
      <c r="B29" s="14" t="s">
        <v>28</v>
      </c>
      <c r="C29" s="15" t="s">
        <v>25</v>
      </c>
      <c r="D29" s="16">
        <v>100</v>
      </c>
      <c r="E29" s="17">
        <v>0.0019910000000000001</v>
      </c>
      <c r="F29" s="17">
        <v>0.001967</v>
      </c>
      <c r="G29" s="17">
        <v>0.002006</v>
      </c>
      <c r="H29" s="17">
        <v>0.0028289999999999999</v>
      </c>
      <c r="I29" s="17">
        <v>0.0020049999999999998</v>
      </c>
      <c r="J29" s="18">
        <f t="shared" si="1"/>
        <v>0.0021595999999999998</v>
      </c>
    </row>
    <row r="30" ht="18" customHeight="1">
      <c r="B30" s="14" t="s">
        <v>28</v>
      </c>
      <c r="C30" s="15" t="s">
        <v>25</v>
      </c>
      <c r="D30" s="16">
        <v>500</v>
      </c>
      <c r="E30" s="17">
        <v>0.0075380000000000004</v>
      </c>
      <c r="F30" s="17">
        <v>0.0075199999999999998</v>
      </c>
      <c r="G30" s="17">
        <v>0.007535</v>
      </c>
      <c r="H30" s="17">
        <v>0.010683</v>
      </c>
      <c r="I30" s="17">
        <v>0.0075189999999999996</v>
      </c>
      <c r="J30" s="18">
        <f t="shared" si="1"/>
        <v>0.0081589999999999996</v>
      </c>
    </row>
    <row r="31" ht="18" customHeight="1">
      <c r="B31" s="14" t="s">
        <v>28</v>
      </c>
      <c r="C31" s="15" t="s">
        <v>25</v>
      </c>
      <c r="D31" s="16">
        <v>1000</v>
      </c>
      <c r="E31" s="17">
        <v>0.014753</v>
      </c>
      <c r="F31" s="17">
        <v>0.020580000000000001</v>
      </c>
      <c r="G31" s="17">
        <v>0.016459999999999999</v>
      </c>
      <c r="H31" s="17">
        <v>0.016579</v>
      </c>
      <c r="I31" s="17">
        <v>0.014813</v>
      </c>
      <c r="J31" s="18">
        <f t="shared" si="1"/>
        <v>0.016637000000000002</v>
      </c>
    </row>
    <row r="32" ht="18" customHeight="1">
      <c r="B32" s="14" t="s">
        <v>28</v>
      </c>
      <c r="C32" s="15" t="s">
        <v>25</v>
      </c>
      <c r="D32" s="16">
        <v>5000</v>
      </c>
      <c r="E32" s="17">
        <v>0.071407999999999999</v>
      </c>
      <c r="F32" s="17">
        <v>0.071277999999999994</v>
      </c>
      <c r="G32" s="17">
        <v>0.072991</v>
      </c>
      <c r="H32" s="17">
        <v>0.07324</v>
      </c>
      <c r="I32" s="17">
        <v>0.073501999999999998</v>
      </c>
      <c r="J32" s="18">
        <f t="shared" si="1"/>
        <v>0.072483800000000001</v>
      </c>
    </row>
    <row r="33" ht="18" customHeight="1">
      <c r="B33" s="14" t="s">
        <v>28</v>
      </c>
      <c r="C33" s="15" t="s">
        <v>25</v>
      </c>
      <c r="D33" s="16">
        <v>10000</v>
      </c>
      <c r="E33" s="17">
        <v>0.025198000000000002</v>
      </c>
      <c r="F33" s="17">
        <v>0.032787999999999998</v>
      </c>
      <c r="G33" s="17">
        <v>0.027966000000000001</v>
      </c>
      <c r="H33" s="17">
        <v>0.027611</v>
      </c>
      <c r="I33" s="17">
        <v>0.029836000000000001</v>
      </c>
      <c r="J33" s="18">
        <f t="shared" si="1"/>
        <v>0.028679799999999998</v>
      </c>
    </row>
    <row r="34" ht="18" customHeight="1">
      <c r="B34" s="19" t="s">
        <v>28</v>
      </c>
      <c r="C34" s="20" t="s">
        <v>26</v>
      </c>
      <c r="D34" s="21">
        <v>100</v>
      </c>
      <c r="E34" s="17">
        <v>0.0045620000000000001</v>
      </c>
      <c r="F34" s="17">
        <v>0.0052440000000000004</v>
      </c>
      <c r="G34" s="17">
        <v>0.0044939999999999997</v>
      </c>
      <c r="H34" s="17">
        <v>0.0045840000000000004</v>
      </c>
      <c r="I34" s="17">
        <v>0.0046369999999999996</v>
      </c>
      <c r="J34" s="18">
        <f t="shared" si="1"/>
        <v>0.0047042000000000004</v>
      </c>
    </row>
    <row r="35" ht="18" customHeight="1">
      <c r="B35" s="19" t="s">
        <v>28</v>
      </c>
      <c r="C35" s="20" t="s">
        <v>26</v>
      </c>
      <c r="D35" s="21">
        <v>500</v>
      </c>
      <c r="E35" s="17">
        <v>0.0040249999999999999</v>
      </c>
      <c r="F35" s="17">
        <v>0.0037569999999999999</v>
      </c>
      <c r="G35" s="17">
        <v>0.0038170000000000001</v>
      </c>
      <c r="H35" s="17">
        <v>0.0039050000000000001</v>
      </c>
      <c r="I35" s="17">
        <v>0.0039179999999999996</v>
      </c>
      <c r="J35" s="18">
        <f t="shared" si="1"/>
        <v>0.0038844000000000005</v>
      </c>
    </row>
    <row r="36" ht="18" customHeight="1">
      <c r="B36" s="19" t="s">
        <v>28</v>
      </c>
      <c r="C36" s="20" t="s">
        <v>26</v>
      </c>
      <c r="D36" s="21">
        <v>1000</v>
      </c>
      <c r="E36" s="17">
        <v>0.0015969999999999999</v>
      </c>
      <c r="F36" s="17">
        <v>0.001725</v>
      </c>
      <c r="G36" s="17">
        <v>0.0013990000000000001</v>
      </c>
      <c r="H36" s="17">
        <v>0.001438</v>
      </c>
      <c r="I36" s="17">
        <v>0.001454</v>
      </c>
      <c r="J36" s="18">
        <f t="shared" si="1"/>
        <v>0.0015226</v>
      </c>
    </row>
    <row r="37" ht="18" customHeight="1">
      <c r="B37" s="19" t="s">
        <v>28</v>
      </c>
      <c r="C37" s="20" t="s">
        <v>26</v>
      </c>
      <c r="D37" s="21">
        <v>5000</v>
      </c>
      <c r="E37" s="17">
        <v>0.051589000000000003</v>
      </c>
      <c r="F37" s="17">
        <v>0.051312999999999998</v>
      </c>
      <c r="G37" s="17">
        <v>0.047551999999999997</v>
      </c>
      <c r="H37" s="17">
        <v>0.04829</v>
      </c>
      <c r="I37" s="17">
        <v>0.048107999999999998</v>
      </c>
      <c r="J37" s="18">
        <f t="shared" si="1"/>
        <v>0.049370399999999995</v>
      </c>
    </row>
    <row r="38" ht="18" customHeight="1">
      <c r="B38" s="19" t="s">
        <v>28</v>
      </c>
      <c r="C38" s="20" t="s">
        <v>26</v>
      </c>
      <c r="D38" s="21">
        <v>10000</v>
      </c>
      <c r="E38" s="17">
        <v>0.078411999999999996</v>
      </c>
      <c r="F38" s="17">
        <v>0.092133999999999994</v>
      </c>
      <c r="G38" s="17">
        <v>0.095921000000000006</v>
      </c>
      <c r="H38" s="17">
        <v>0.096747</v>
      </c>
      <c r="I38" s="17">
        <v>0.115592</v>
      </c>
      <c r="J38" s="18">
        <f t="shared" si="1"/>
        <v>0.095761200000000019</v>
      </c>
    </row>
    <row r="40" ht="18" customHeight="1">
      <c r="B40" s="14" t="s">
        <v>29</v>
      </c>
      <c r="C40" s="15" t="s">
        <v>25</v>
      </c>
      <c r="D40" s="16">
        <v>100</v>
      </c>
      <c r="E40" s="17">
        <v>0.19734699999999999</v>
      </c>
      <c r="F40" s="17">
        <v>0.184</v>
      </c>
      <c r="G40" s="17">
        <v>0.19720299999999999</v>
      </c>
      <c r="H40" s="17">
        <v>0.19641600000000001</v>
      </c>
      <c r="I40" s="17">
        <v>0.18668299999999999</v>
      </c>
      <c r="J40" s="18">
        <f t="shared" si="1"/>
        <v>0.1923298</v>
      </c>
    </row>
    <row r="41" ht="18" customHeight="1">
      <c r="B41" s="14" t="s">
        <v>29</v>
      </c>
      <c r="C41" s="15" t="s">
        <v>25</v>
      </c>
      <c r="D41" s="16">
        <v>500</v>
      </c>
      <c r="E41" s="17">
        <v>0.79163300000000003</v>
      </c>
      <c r="F41" s="17">
        <v>0.54777399999999998</v>
      </c>
      <c r="G41" s="17">
        <v>0.55554000000000003</v>
      </c>
      <c r="H41" s="17">
        <v>0.54114600000000002</v>
      </c>
      <c r="I41" s="17">
        <v>0.63942699999999997</v>
      </c>
      <c r="J41" s="18">
        <f t="shared" si="1"/>
        <v>0.61510399999999998</v>
      </c>
    </row>
    <row r="42" ht="18" customHeight="1">
      <c r="B42" s="14" t="s">
        <v>29</v>
      </c>
      <c r="C42" s="15" t="s">
        <v>25</v>
      </c>
      <c r="D42" s="16">
        <v>1000</v>
      </c>
      <c r="E42" s="17">
        <v>0.90151800000000004</v>
      </c>
      <c r="F42" s="17">
        <v>0.85160100000000005</v>
      </c>
      <c r="G42" s="17">
        <v>0.87211399999999994</v>
      </c>
      <c r="H42" s="17">
        <v>0.98613499999999998</v>
      </c>
      <c r="I42" s="17">
        <v>0.92140100000000003</v>
      </c>
      <c r="J42" s="18">
        <f t="shared" si="1"/>
        <v>0.90655379999999997</v>
      </c>
    </row>
    <row r="43" ht="18" customHeight="1">
      <c r="B43" s="14" t="s">
        <v>29</v>
      </c>
      <c r="C43" s="15" t="s">
        <v>25</v>
      </c>
      <c r="D43" s="16">
        <v>5000</v>
      </c>
      <c r="E43" s="17">
        <v>20.505032</v>
      </c>
      <c r="F43" s="17">
        <v>16.532436000000001</v>
      </c>
      <c r="G43" s="17">
        <v>17.263193000000001</v>
      </c>
      <c r="H43" s="17">
        <v>16.275943999999999</v>
      </c>
      <c r="I43" s="17">
        <v>18.597436999999999</v>
      </c>
      <c r="J43" s="18">
        <f t="shared" si="1"/>
        <v>17.8348084</v>
      </c>
    </row>
    <row r="44" ht="18" customHeight="1">
      <c r="B44" s="14" t="s">
        <v>29</v>
      </c>
      <c r="C44" s="15" t="s">
        <v>25</v>
      </c>
      <c r="D44" s="16">
        <v>10000</v>
      </c>
      <c r="E44" s="17">
        <v>116.667078</v>
      </c>
      <c r="F44" s="17">
        <v>109.303847</v>
      </c>
      <c r="G44" s="17">
        <v>111.834141</v>
      </c>
      <c r="H44" s="17">
        <v>110.098378</v>
      </c>
      <c r="I44" s="17">
        <v>108.837467</v>
      </c>
      <c r="J44" s="18">
        <f t="shared" si="1"/>
        <v>111.34818220000002</v>
      </c>
    </row>
    <row r="45" ht="18" customHeight="1">
      <c r="B45" s="19" t="s">
        <v>29</v>
      </c>
      <c r="C45" s="20" t="s">
        <v>26</v>
      </c>
      <c r="D45" s="21">
        <v>100</v>
      </c>
      <c r="E45" s="17">
        <v>0.056354000000000001</v>
      </c>
      <c r="F45" s="17">
        <v>0.053754999999999997</v>
      </c>
      <c r="G45" s="17">
        <v>0.052497000000000002</v>
      </c>
      <c r="H45" s="17">
        <v>0.055730000000000002</v>
      </c>
      <c r="I45" s="17">
        <v>0.050682999999999999</v>
      </c>
      <c r="J45" s="18">
        <f t="shared" si="1"/>
        <v>0.053803799999999999</v>
      </c>
    </row>
    <row r="46" ht="18" customHeight="1">
      <c r="B46" s="19" t="s">
        <v>29</v>
      </c>
      <c r="C46" s="20" t="s">
        <v>26</v>
      </c>
      <c r="D46" s="21">
        <v>500</v>
      </c>
      <c r="E46" s="17">
        <v>0.49613400000000002</v>
      </c>
      <c r="F46" s="17">
        <v>0.52481</v>
      </c>
      <c r="G46" s="17">
        <v>0.488284</v>
      </c>
      <c r="H46" s="17">
        <v>0.582986</v>
      </c>
      <c r="I46" s="17">
        <v>0.50687400000000005</v>
      </c>
      <c r="J46" s="18">
        <f t="shared" si="1"/>
        <v>0.51981759999999999</v>
      </c>
    </row>
    <row r="47" ht="18" customHeight="1">
      <c r="B47" s="19" t="s">
        <v>29</v>
      </c>
      <c r="C47" s="20" t="s">
        <v>26</v>
      </c>
      <c r="D47" s="21">
        <v>1000</v>
      </c>
      <c r="E47" s="17">
        <v>0.86738300000000002</v>
      </c>
      <c r="F47" s="17">
        <v>0.84565500000000005</v>
      </c>
      <c r="G47" s="17">
        <v>0.86265000000000003</v>
      </c>
      <c r="H47" s="17">
        <v>0.86083299999999996</v>
      </c>
      <c r="I47" s="17">
        <v>0.84142499999999998</v>
      </c>
      <c r="J47" s="18">
        <f t="shared" si="1"/>
        <v>0.85558920000000005</v>
      </c>
    </row>
    <row r="48" ht="18" customHeight="1">
      <c r="B48" s="19" t="s">
        <v>29</v>
      </c>
      <c r="C48" s="20" t="s">
        <v>26</v>
      </c>
      <c r="D48" s="21">
        <v>5000</v>
      </c>
      <c r="E48" s="17">
        <v>19.134511</v>
      </c>
      <c r="F48" s="17">
        <v>19.089389000000001</v>
      </c>
      <c r="G48" s="17">
        <v>19.099143000000002</v>
      </c>
      <c r="H48" s="17">
        <v>18.933419000000001</v>
      </c>
      <c r="I48" s="17">
        <v>18.635577000000001</v>
      </c>
      <c r="J48" s="18">
        <f t="shared" si="1"/>
        <v>18.978407799999999</v>
      </c>
    </row>
    <row r="49" ht="18" customHeight="1">
      <c r="B49" s="19" t="s">
        <v>29</v>
      </c>
      <c r="C49" s="20" t="s">
        <v>26</v>
      </c>
      <c r="D49" s="21">
        <v>10000</v>
      </c>
      <c r="E49" s="17">
        <v>111.533806</v>
      </c>
      <c r="F49" s="17">
        <v>110.375219</v>
      </c>
      <c r="G49" s="17">
        <v>111.308694</v>
      </c>
      <c r="H49" s="17">
        <v>114.45358400000001</v>
      </c>
      <c r="I49" s="17">
        <v>109.913374</v>
      </c>
      <c r="J49" s="18">
        <f t="shared" si="1"/>
        <v>111.51693539999999</v>
      </c>
    </row>
    <row r="52">
      <c r="B52" s="22" t="s">
        <v>30</v>
      </c>
    </row>
  </sheetData>
  <mergeCells count="2">
    <mergeCell ref="B1:I1"/>
    <mergeCell ref="B52:J52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10" defaultColWidth="8.6640625" defaultRowHeight="15" customHeight="1"/>
  <cols>
    <col customWidth="1" min="1" max="1" style="1" width="3"/>
    <col customWidth="1" min="2" max="2" style="1" width="14"/>
    <col customWidth="1" min="3" max="4" style="1" width="16"/>
    <col customWidth="1" min="5" max="13" style="1" width="4"/>
  </cols>
  <sheetData>
    <row r="1" ht="33.75" customHeight="1">
      <c r="B1" s="11" t="s">
        <v>31</v>
      </c>
      <c r="C1" s="4"/>
      <c r="D1" s="4"/>
    </row>
    <row r="2" ht="21.75" customHeight="1">
      <c r="B2" s="14" t="s">
        <v>32</v>
      </c>
      <c r="C2" s="23" t="s">
        <v>33</v>
      </c>
      <c r="D2" s="23" t="s">
        <v>34</v>
      </c>
    </row>
    <row r="3" ht="9.75" customHeight="1"/>
    <row r="4" ht="30" customHeight="1">
      <c r="B4" s="12" t="s">
        <v>17</v>
      </c>
      <c r="C4" s="12" t="s">
        <v>35</v>
      </c>
      <c r="D4" s="13" t="s">
        <v>36</v>
      </c>
    </row>
    <row r="5" ht="19.5" customHeight="1">
      <c r="B5" s="24">
        <v>5</v>
      </c>
      <c r="C5" s="25">
        <f>AVERAGEIFS('1. Datos_Crudos'!$J:$J,'1. Datos_Crudos'!$B:$B,"A1 - Factorial",'1. Datos_Crudos'!$C:$C,"Iterativo",'1. Datos_Crudos'!$D:$D,B5)</f>
        <v>0.0007719999999999999</v>
      </c>
      <c r="D5" s="26">
        <f>AVERAGEIFS('1. Datos_Crudos'!$J:$J,'1. Datos_Crudos'!$B:$B,"A1 - Factorial",'1. Datos_Crudos'!$C:$C,"Recursivo",'1. Datos_Crudos'!$D:$D,B5)</f>
        <v>0.0033864000000000003</v>
      </c>
    </row>
    <row r="6" ht="19.5" customHeight="1">
      <c r="B6" s="27">
        <v>10</v>
      </c>
      <c r="C6" s="28">
        <f>AVERAGEIFS('1. Datos_Crudos'!$J:$J,'1. Datos_Crudos'!$B:$B,"A1 - Factorial",'1. Datos_Crudos'!$C:$C,"Iterativo",'1. Datos_Crudos'!$D:$D,B6)</f>
        <v>0.000281</v>
      </c>
      <c r="D6" s="29">
        <f>AVERAGEIFS('1. Datos_Crudos'!$J:$J,'1. Datos_Crudos'!$B:$B,"A1 - Factorial",'1. Datos_Crudos'!$C:$C,"Recursivo",'1. Datos_Crudos'!$D:$D,B6)</f>
        <v>0.00069539999999999999</v>
      </c>
    </row>
    <row r="7" ht="19.5" customHeight="1">
      <c r="B7" s="24">
        <v>15</v>
      </c>
      <c r="C7" s="25">
        <f>AVERAGEIFS('1. Datos_Crudos'!$J:$J,'1. Datos_Crudos'!$B:$B,"A1 - Factorial",'1. Datos_Crudos'!$C:$C,"Iterativo",'1. Datos_Crudos'!$D:$D,B7)</f>
        <v>0.00036179999999999996</v>
      </c>
      <c r="D7" s="26">
        <f>AVERAGEIFS('1. Datos_Crudos'!$J:$J,'1. Datos_Crudos'!$B:$B,"A1 - Factorial",'1. Datos_Crudos'!$C:$C,"Recursivo",'1. Datos_Crudos'!$D:$D,B7)</f>
        <v>0.0016382</v>
      </c>
    </row>
    <row r="8" ht="19.5" customHeight="1">
      <c r="B8" s="27">
        <v>20</v>
      </c>
      <c r="C8" s="28">
        <f>AVERAGEIFS('1. Datos_Crudos'!$J:$J,'1. Datos_Crudos'!$B:$B,"A1 - Factorial",'1. Datos_Crudos'!$C:$C,"Iterativo",'1. Datos_Crudos'!$D:$D,B8)</f>
        <v>0.00041379999999999992</v>
      </c>
      <c r="D8" s="29">
        <f>AVERAGEIFS('1. Datos_Crudos'!$J:$J,'1. Datos_Crudos'!$B:$B,"A1 - Factorial",'1. Datos_Crudos'!$C:$C,"Recursivo",'1. Datos_Crudos'!$D:$D,B8)</f>
        <v>0.00071840000000000001</v>
      </c>
    </row>
    <row r="9" ht="19.5" customHeight="1">
      <c r="B9" s="24">
        <v>25</v>
      </c>
      <c r="C9" s="25">
        <f>AVERAGEIFS('1. Datos_Crudos'!$J:$J,'1. Datos_Crudos'!$B:$B,"A1 - Factorial",'1. Datos_Crudos'!$C:$C,"Iterativo",'1. Datos_Crudos'!$D:$D,B9)</f>
        <v>0.00041659999999999993</v>
      </c>
      <c r="D9" s="26">
        <f>AVERAGEIFS('1. Datos_Crudos'!$J:$J,'1. Datos_Crudos'!$B:$B,"A1 - Factorial",'1. Datos_Crudos'!$C:$C,"Recursivo",'1. Datos_Crudos'!$D:$D,B9)</f>
        <v>0.00029100000000000003</v>
      </c>
    </row>
    <row r="10" ht="19.5" customHeight="1">
      <c r="B10" s="27">
        <v>30</v>
      </c>
      <c r="C10" s="28">
        <f>AVERAGEIFS('1. Datos_Crudos'!$J:$J,'1. Datos_Crudos'!$B:$B,"A1 - Factorial",'1. Datos_Crudos'!$C:$C,"Iterativo",'1. Datos_Crudos'!$D:$D,B10)</f>
        <v>0.00040840000000000001</v>
      </c>
      <c r="D10" s="29">
        <f>AVERAGEIFS('1. Datos_Crudos'!$J:$J,'1. Datos_Crudos'!$B:$B,"A1 - Factorial",'1. Datos_Crudos'!$C:$C,"Recursivo",'1. Datos_Crudos'!$D:$D,B10)</f>
        <v>0.00030380000000000001</v>
      </c>
    </row>
    <row r="12" ht="39.75" customHeight="1">
      <c r="B12" s="30" t="s">
        <v>37</v>
      </c>
      <c r="C12" s="4"/>
      <c r="D12" s="4"/>
    </row>
  </sheetData>
  <mergeCells count="2">
    <mergeCell ref="B12:D12"/>
    <mergeCell ref="B1:D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10" defaultColWidth="8.6640625" defaultRowHeight="15" customHeight="1"/>
  <cols>
    <col customWidth="1" min="1" max="1" style="1" width="3"/>
    <col customWidth="1" min="2" max="2" style="1" width="14"/>
    <col customWidth="1" min="3" max="4" style="1" width="16"/>
    <col customWidth="1" min="5" max="13" style="1" width="4"/>
  </cols>
  <sheetData>
    <row r="1" ht="33.75" customHeight="1">
      <c r="B1" s="11" t="s">
        <v>38</v>
      </c>
      <c r="C1" s="4"/>
      <c r="D1" s="4"/>
    </row>
    <row r="2" ht="21.75" customHeight="1">
      <c r="B2" s="14" t="s">
        <v>32</v>
      </c>
      <c r="C2" s="23" t="s">
        <v>33</v>
      </c>
      <c r="D2" s="31" t="s">
        <v>39</v>
      </c>
    </row>
    <row r="3" ht="9.75" customHeight="1"/>
    <row r="4" ht="30" customHeight="1">
      <c r="B4" s="12" t="s">
        <v>17</v>
      </c>
      <c r="C4" s="12" t="s">
        <v>35</v>
      </c>
      <c r="D4" s="13" t="s">
        <v>40</v>
      </c>
    </row>
    <row r="5" ht="19.5" customHeight="1">
      <c r="B5" s="24">
        <v>5</v>
      </c>
      <c r="C5" s="25">
        <f>AVERAGEIFS('1. Datos_Crudos'!$J:$J,'1. Datos_Crudos'!$B:$B,"A2 - Fibonacci",'1. Datos_Crudos'!$C:$C,"Iterativo",'1. Datos_Crudos'!$D:$D,B5)</f>
        <v>0.00046920000000000002</v>
      </c>
      <c r="D5" s="32">
        <f>AVERAGEIFS('1. Datos_Crudos'!$J:$J,'1. Datos_Crudos'!$B:$B,"A2 - Fibonacci",'1. Datos_Crudos'!$C:$C,"Recursivo",'1. Datos_Crudos'!$D:$D,B5)</f>
        <v>0.00085979999999999997</v>
      </c>
    </row>
    <row r="6" ht="19.5" customHeight="1">
      <c r="B6" s="27">
        <v>10</v>
      </c>
      <c r="C6" s="28">
        <f>AVERAGEIFS('1. Datos_Crudos'!$J:$J,'1. Datos_Crudos'!$B:$B,"A2 - Fibonacci",'1. Datos_Crudos'!$C:$C,"Iterativo",'1. Datos_Crudos'!$D:$D,B6)</f>
        <v>0.00035719999999999995</v>
      </c>
      <c r="D6" s="33">
        <f>AVERAGEIFS('1. Datos_Crudos'!$J:$J,'1. Datos_Crudos'!$B:$B,"A2 - Fibonacci",'1. Datos_Crudos'!$C:$C,"Recursivo",'1. Datos_Crudos'!$D:$D,B6)</f>
        <v>0.0090247999999999995</v>
      </c>
    </row>
    <row r="7" ht="19.5" customHeight="1">
      <c r="B7" s="24">
        <v>15</v>
      </c>
      <c r="C7" s="25">
        <f>AVERAGEIFS('1. Datos_Crudos'!$J:$J,'1. Datos_Crudos'!$B:$B,"A2 - Fibonacci",'1. Datos_Crudos'!$C:$C,"Iterativo",'1. Datos_Crudos'!$D:$D,B7)</f>
        <v>0.00038539999999999999</v>
      </c>
      <c r="D7" s="32">
        <f>AVERAGEIFS('1. Datos_Crudos'!$J:$J,'1. Datos_Crudos'!$B:$B,"A2 - Fibonacci",'1. Datos_Crudos'!$C:$C,"Recursivo",'1. Datos_Crudos'!$D:$D,B7)</f>
        <v>0.041199799999999995</v>
      </c>
    </row>
    <row r="8" ht="19.5" customHeight="1">
      <c r="B8" s="27">
        <v>20</v>
      </c>
      <c r="C8" s="28">
        <f>AVERAGEIFS('1. Datos_Crudos'!$J:$J,'1. Datos_Crudos'!$B:$B,"A2 - Fibonacci",'1. Datos_Crudos'!$C:$C,"Iterativo",'1. Datos_Crudos'!$D:$D,B8)</f>
        <v>0.00047819999999999997</v>
      </c>
      <c r="D8" s="33">
        <f>AVERAGEIFS('1. Datos_Crudos'!$J:$J,'1. Datos_Crudos'!$B:$B,"A2 - Fibonacci",'1. Datos_Crudos'!$C:$C,"Recursivo",'1. Datos_Crudos'!$D:$D,B8)</f>
        <v>0.097161200000000003</v>
      </c>
    </row>
    <row r="9" ht="19.5" customHeight="1">
      <c r="B9" s="24">
        <v>25</v>
      </c>
      <c r="C9" s="25">
        <f>AVERAGEIFS('1. Datos_Crudos'!$J:$J,'1. Datos_Crudos'!$B:$B,"A2 - Fibonacci",'1. Datos_Crudos'!$C:$C,"Iterativo",'1. Datos_Crudos'!$D:$D,B9)</f>
        <v>0.00052720000000000002</v>
      </c>
      <c r="D9" s="32">
        <f>AVERAGEIFS('1. Datos_Crudos'!$J:$J,'1. Datos_Crudos'!$B:$B,"A2 - Fibonacci",'1. Datos_Crudos'!$C:$C,"Recursivo",'1. Datos_Crudos'!$D:$D,B9)</f>
        <v>0.44465200000000005</v>
      </c>
    </row>
    <row r="10" ht="19.5" customHeight="1">
      <c r="B10" s="27">
        <v>30</v>
      </c>
      <c r="C10" s="28">
        <f>AVERAGEIFS('1. Datos_Crudos'!$J:$J,'1. Datos_Crudos'!$B:$B,"A2 - Fibonacci",'1. Datos_Crudos'!$C:$C,"Iterativo",'1. Datos_Crudos'!$D:$D,B10)</f>
        <v>0.0006514</v>
      </c>
      <c r="D10" s="33">
        <f>AVERAGEIFS('1. Datos_Crudos'!$J:$J,'1. Datos_Crudos'!$B:$B,"A2 - Fibonacci",'1. Datos_Crudos'!$C:$C,"Recursivo",'1. Datos_Crudos'!$D:$D,B10)</f>
        <v>4.8896645999999997</v>
      </c>
    </row>
    <row r="12" ht="39.75" customHeight="1">
      <c r="B12" s="30" t="s">
        <v>41</v>
      </c>
      <c r="C12" s="4"/>
      <c r="D12" s="4"/>
    </row>
  </sheetData>
  <mergeCells count="2">
    <mergeCell ref="B12:D12"/>
    <mergeCell ref="B1:D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10" defaultColWidth="8.6640625" defaultRowHeight="15" customHeight="1"/>
  <cols>
    <col customWidth="1" min="1" max="1" style="1" width="3"/>
    <col customWidth="1" min="2" max="2" style="1" width="14"/>
    <col customWidth="1" min="3" max="4" style="1" width="16"/>
    <col customWidth="1" min="5" max="13" style="1" width="4"/>
  </cols>
  <sheetData>
    <row r="1" ht="33.75" customHeight="1">
      <c r="B1" s="11" t="s">
        <v>42</v>
      </c>
      <c r="C1" s="4"/>
      <c r="D1" s="4"/>
    </row>
    <row r="2" ht="21.75" customHeight="1">
      <c r="B2" s="14" t="s">
        <v>32</v>
      </c>
      <c r="C2" s="23" t="s">
        <v>33</v>
      </c>
      <c r="D2" s="23" t="s">
        <v>34</v>
      </c>
    </row>
    <row r="3" ht="9.75" customHeight="1"/>
    <row r="4" ht="30" customHeight="1">
      <c r="B4" s="12" t="s">
        <v>17</v>
      </c>
      <c r="C4" s="12" t="s">
        <v>35</v>
      </c>
      <c r="D4" s="13" t="s">
        <v>36</v>
      </c>
    </row>
    <row r="5" ht="19.5" customHeight="1">
      <c r="B5" s="24">
        <v>100</v>
      </c>
      <c r="C5" s="25">
        <f>AVERAGEIFS('1. Datos_Crudos'!$J:$J,'1. Datos_Crudos'!$B:$B,"A3 - Busqueda Lineal",'1. Datos_Crudos'!$C:$C,"Iterativo",'1. Datos_Crudos'!$D:$D,B5)</f>
        <v>0.0021595999999999998</v>
      </c>
      <c r="D5" s="26">
        <f>AVERAGEIFS('1. Datos_Crudos'!$J:$J,'1. Datos_Crudos'!$B:$B,"A3 - Busqueda Lineal",'1. Datos_Crudos'!$C:$C,"Recursivo",'1. Datos_Crudos'!$D:$D,B5)</f>
        <v>0.0047042000000000004</v>
      </c>
    </row>
    <row r="6" ht="19.5" customHeight="1">
      <c r="B6" s="27">
        <v>500</v>
      </c>
      <c r="C6" s="28">
        <f>AVERAGEIFS('1. Datos_Crudos'!$J:$J,'1. Datos_Crudos'!$B:$B,"A3 - Busqueda Lineal",'1. Datos_Crudos'!$C:$C,"Iterativo",'1. Datos_Crudos'!$D:$D,B6)</f>
        <v>0.0081589999999999996</v>
      </c>
      <c r="D6" s="29">
        <f>AVERAGEIFS('1. Datos_Crudos'!$J:$J,'1. Datos_Crudos'!$B:$B,"A3 - Busqueda Lineal",'1. Datos_Crudos'!$C:$C,"Recursivo",'1. Datos_Crudos'!$D:$D,B6)</f>
        <v>0.0038844000000000005</v>
      </c>
    </row>
    <row r="7" ht="19.5" customHeight="1">
      <c r="B7" s="24">
        <v>1000</v>
      </c>
      <c r="C7" s="25">
        <f>AVERAGEIFS('1. Datos_Crudos'!$J:$J,'1. Datos_Crudos'!$B:$B,"A3 - Busqueda Lineal",'1. Datos_Crudos'!$C:$C,"Iterativo",'1. Datos_Crudos'!$D:$D,B7)</f>
        <v>0.016637000000000002</v>
      </c>
      <c r="D7" s="26">
        <f>AVERAGEIFS('1. Datos_Crudos'!$J:$J,'1. Datos_Crudos'!$B:$B,"A3 - Busqueda Lineal",'1. Datos_Crudos'!$C:$C,"Recursivo",'1. Datos_Crudos'!$D:$D,B7)</f>
        <v>0.0015226</v>
      </c>
    </row>
    <row r="8" ht="19.5" customHeight="1">
      <c r="B8" s="27">
        <v>5000</v>
      </c>
      <c r="C8" s="28">
        <f>AVERAGEIFS('1. Datos_Crudos'!$J:$J,'1. Datos_Crudos'!$B:$B,"A3 - Busqueda Lineal",'1. Datos_Crudos'!$C:$C,"Iterativo",'1. Datos_Crudos'!$D:$D,B8)</f>
        <v>0.072483800000000001</v>
      </c>
      <c r="D8" s="29">
        <f>AVERAGEIFS('1. Datos_Crudos'!$J:$J,'1. Datos_Crudos'!$B:$B,"A3 - Busqueda Lineal",'1. Datos_Crudos'!$C:$C,"Recursivo",'1. Datos_Crudos'!$D:$D,B8)</f>
        <v>0.049370399999999995</v>
      </c>
    </row>
    <row r="9" ht="19.5" customHeight="1">
      <c r="B9" s="24">
        <v>10000</v>
      </c>
      <c r="C9" s="25">
        <f>AVERAGEIFS('1. Datos_Crudos'!$J:$J,'1. Datos_Crudos'!$B:$B,"A3 - Busqueda Lineal",'1. Datos_Crudos'!$C:$C,"Iterativo",'1. Datos_Crudos'!$D:$D,B9)</f>
        <v>0.028679799999999998</v>
      </c>
      <c r="D9" s="26">
        <f>AVERAGEIFS('1. Datos_Crudos'!$J:$J,'1. Datos_Crudos'!$B:$B,"A3 - Busqueda Lineal",'1. Datos_Crudos'!$C:$C,"Recursivo",'1. Datos_Crudos'!$D:$D,B9)</f>
        <v>0.095761200000000019</v>
      </c>
    </row>
    <row r="11" ht="39.75" customHeight="1">
      <c r="B11" s="30" t="s">
        <v>43</v>
      </c>
      <c r="C11" s="4"/>
      <c r="D11" s="4"/>
    </row>
  </sheetData>
  <mergeCells count="2">
    <mergeCell ref="B11:D11"/>
    <mergeCell ref="B1:D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10" defaultColWidth="8.6640625" defaultRowHeight="15" customHeight="1"/>
  <cols>
    <col customWidth="1" min="1" max="1" style="1" width="3"/>
    <col customWidth="1" min="2" max="2" style="1" width="14"/>
    <col customWidth="1" min="3" max="4" style="1" width="16"/>
    <col customWidth="1" min="5" max="13" style="1" width="4"/>
  </cols>
  <sheetData>
    <row r="1" ht="33.75" customHeight="1">
      <c r="B1" s="11" t="s">
        <v>44</v>
      </c>
      <c r="C1" s="4"/>
      <c r="D1" s="4"/>
    </row>
    <row r="2" ht="21.75" customHeight="1">
      <c r="B2" s="14" t="s">
        <v>32</v>
      </c>
      <c r="C2" s="23" t="s">
        <v>45</v>
      </c>
      <c r="D2" s="23" t="s">
        <v>46</v>
      </c>
    </row>
    <row r="3" ht="9.75" customHeight="1"/>
    <row r="4" ht="30" customHeight="1">
      <c r="B4" s="12" t="s">
        <v>17</v>
      </c>
      <c r="C4" s="12" t="s">
        <v>47</v>
      </c>
      <c r="D4" s="13" t="s">
        <v>48</v>
      </c>
    </row>
    <row r="5" ht="19.5" customHeight="1">
      <c r="B5" s="24">
        <v>100</v>
      </c>
      <c r="C5" s="25">
        <f>AVERAGEIFS('1. Datos_Crudos'!$J:$J,'1. Datos_Crudos'!$B:$B,"A4 - Burbuja",'1. Datos_Crudos'!$C:$C,"Iterativo",'1. Datos_Crudos'!$D:$D,B5)</f>
        <v>0.1923298</v>
      </c>
      <c r="D5" s="26">
        <f>AVERAGEIFS('1. Datos_Crudos'!$J:$J,'1. Datos_Crudos'!$B:$B,"A4 - Burbuja",'1. Datos_Crudos'!$C:$C,"Recursivo",'1. Datos_Crudos'!$D:$D,B5)</f>
        <v>0.053803799999999999</v>
      </c>
    </row>
    <row r="6" ht="19.5" customHeight="1">
      <c r="B6" s="27">
        <v>500</v>
      </c>
      <c r="C6" s="28">
        <f>AVERAGEIFS('1. Datos_Crudos'!$J:$J,'1. Datos_Crudos'!$B:$B,"A4 - Burbuja",'1. Datos_Crudos'!$C:$C,"Iterativo",'1. Datos_Crudos'!$D:$D,B6)</f>
        <v>0.61510399999999998</v>
      </c>
      <c r="D6" s="29">
        <f>AVERAGEIFS('1. Datos_Crudos'!$J:$J,'1. Datos_Crudos'!$B:$B,"A4 - Burbuja",'1. Datos_Crudos'!$C:$C,"Recursivo",'1. Datos_Crudos'!$D:$D,B6)</f>
        <v>0.51981759999999999</v>
      </c>
    </row>
    <row r="7" ht="19.5" customHeight="1">
      <c r="B7" s="24">
        <v>1000</v>
      </c>
      <c r="C7" s="25">
        <f>AVERAGEIFS('1. Datos_Crudos'!$J:$J,'1. Datos_Crudos'!$B:$B,"A4 - Burbuja",'1. Datos_Crudos'!$C:$C,"Iterativo",'1. Datos_Crudos'!$D:$D,B7)</f>
        <v>0.90655379999999997</v>
      </c>
      <c r="D7" s="26">
        <f>AVERAGEIFS('1. Datos_Crudos'!$J:$J,'1. Datos_Crudos'!$B:$B,"A4 - Burbuja",'1. Datos_Crudos'!$C:$C,"Recursivo",'1. Datos_Crudos'!$D:$D,B7)</f>
        <v>0.85558920000000005</v>
      </c>
    </row>
    <row r="8" ht="19.5" customHeight="1">
      <c r="B8" s="27">
        <v>5000</v>
      </c>
      <c r="C8" s="28">
        <f>AVERAGEIFS('1. Datos_Crudos'!$J:$J,'1. Datos_Crudos'!$B:$B,"A4 - Burbuja",'1. Datos_Crudos'!$C:$C,"Iterativo",'1. Datos_Crudos'!$D:$D,B8)</f>
        <v>17.8348084</v>
      </c>
      <c r="D8" s="29">
        <f>AVERAGEIFS('1. Datos_Crudos'!$J:$J,'1. Datos_Crudos'!$B:$B,"A4 - Burbuja",'1. Datos_Crudos'!$C:$C,"Recursivo",'1. Datos_Crudos'!$D:$D,B8)</f>
        <v>18.978407799999999</v>
      </c>
    </row>
    <row r="9" ht="19.5" customHeight="1">
      <c r="B9" s="24">
        <v>10000</v>
      </c>
      <c r="C9" s="25">
        <f>AVERAGEIFS('1. Datos_Crudos'!$J:$J,'1. Datos_Crudos'!$B:$B,"A4 - Burbuja",'1. Datos_Crudos'!$C:$C,"Iterativo",'1. Datos_Crudos'!$D:$D,B9)</f>
        <v>111.34818220000002</v>
      </c>
      <c r="D9" s="26">
        <f>AVERAGEIFS('1. Datos_Crudos'!$J:$J,'1. Datos_Crudos'!$B:$B,"A4 - Burbuja",'1. Datos_Crudos'!$C:$C,"Recursivo",'1. Datos_Crudos'!$D:$D,B9)</f>
        <v>111.51693539999999</v>
      </c>
    </row>
    <row r="11" ht="39.75" customHeight="1">
      <c r="B11" s="30" t="s">
        <v>49</v>
      </c>
      <c r="C11" s="4"/>
      <c r="D11" s="4"/>
    </row>
  </sheetData>
  <mergeCells count="2">
    <mergeCell ref="B11:D11"/>
    <mergeCell ref="B1:D1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A1" activeCellId="0" sqref="A1"/>
    </sheetView>
  </sheetViews>
  <sheetFormatPr baseColWidth="10" defaultColWidth="8.6640625" defaultRowHeight="15" customHeight="1"/>
  <cols>
    <col customWidth="1" min="1" max="1" style="1" width="3"/>
    <col customWidth="1" min="2" max="2" style="1" width="24"/>
    <col customWidth="1" min="3" max="3" style="1" width="16"/>
    <col customWidth="1" min="4" max="5" style="1" width="20"/>
    <col customWidth="1" min="6" max="6" style="1" width="16"/>
    <col customWidth="1" min="7" max="7" style="1" width="42"/>
  </cols>
  <sheetData>
    <row r="1" ht="33.75" customHeight="1">
      <c r="B1" s="11" t="s">
        <v>50</v>
      </c>
      <c r="C1" s="4"/>
      <c r="D1" s="4"/>
      <c r="E1" s="4"/>
      <c r="F1" s="4"/>
      <c r="G1" s="4"/>
    </row>
    <row r="2" ht="9.75" customHeight="1"/>
    <row r="3" ht="30" customHeight="1">
      <c r="B3" s="34" t="s">
        <v>15</v>
      </c>
      <c r="C3" s="34" t="s">
        <v>16</v>
      </c>
      <c r="D3" s="35" t="s">
        <v>51</v>
      </c>
      <c r="E3" s="36" t="s">
        <v>52</v>
      </c>
      <c r="F3" s="36" t="s">
        <v>53</v>
      </c>
      <c r="G3" s="36" t="s">
        <v>54</v>
      </c>
    </row>
    <row r="4" ht="21.75" customHeight="1">
      <c r="B4" s="36" t="s">
        <v>24</v>
      </c>
      <c r="C4" s="37" t="s">
        <v>25</v>
      </c>
      <c r="D4" s="38" t="s">
        <v>55</v>
      </c>
      <c r="E4" s="36" t="s">
        <v>33</v>
      </c>
      <c r="F4" s="39" t="s">
        <v>56</v>
      </c>
      <c r="G4" s="40"/>
    </row>
    <row r="5" ht="21.75" customHeight="1">
      <c r="B5" s="41" t="s">
        <v>24</v>
      </c>
      <c r="C5" s="42" t="s">
        <v>26</v>
      </c>
      <c r="D5" s="38" t="s">
        <v>55</v>
      </c>
      <c r="E5" s="41" t="s">
        <v>33</v>
      </c>
      <c r="F5" s="39" t="s">
        <v>56</v>
      </c>
      <c r="G5" s="40"/>
    </row>
    <row r="6" ht="21.75" customHeight="1">
      <c r="B6" s="36" t="s">
        <v>27</v>
      </c>
      <c r="C6" s="37" t="s">
        <v>25</v>
      </c>
      <c r="D6" s="38" t="s">
        <v>55</v>
      </c>
      <c r="E6" s="36" t="s">
        <v>33</v>
      </c>
      <c r="F6" s="39" t="s">
        <v>56</v>
      </c>
      <c r="G6" s="40"/>
    </row>
    <row r="7" ht="21.75" customHeight="1">
      <c r="B7" s="41" t="s">
        <v>27</v>
      </c>
      <c r="C7" s="42" t="s">
        <v>26</v>
      </c>
      <c r="D7" s="38" t="s">
        <v>55</v>
      </c>
      <c r="E7" s="41" t="s">
        <v>57</v>
      </c>
      <c r="F7" s="39" t="s">
        <v>56</v>
      </c>
      <c r="G7" s="40"/>
    </row>
    <row r="8" ht="21.75" customHeight="1">
      <c r="B8" s="36" t="s">
        <v>28</v>
      </c>
      <c r="C8" s="37" t="s">
        <v>25</v>
      </c>
      <c r="D8" s="38" t="s">
        <v>55</v>
      </c>
      <c r="E8" s="36" t="s">
        <v>33</v>
      </c>
      <c r="F8" s="39" t="s">
        <v>56</v>
      </c>
      <c r="G8" s="40"/>
    </row>
    <row r="9" ht="21.75" customHeight="1">
      <c r="B9" s="41" t="s">
        <v>28</v>
      </c>
      <c r="C9" s="42" t="s">
        <v>26</v>
      </c>
      <c r="D9" s="38" t="s">
        <v>55</v>
      </c>
      <c r="E9" s="41" t="s">
        <v>33</v>
      </c>
      <c r="F9" s="39" t="s">
        <v>56</v>
      </c>
      <c r="G9" s="40"/>
    </row>
    <row r="10" ht="21.75" customHeight="1">
      <c r="B10" s="36" t="s">
        <v>29</v>
      </c>
      <c r="C10" s="37" t="s">
        <v>25</v>
      </c>
      <c r="D10" s="38" t="s">
        <v>55</v>
      </c>
      <c r="E10" s="36" t="s">
        <v>45</v>
      </c>
      <c r="F10" s="39" t="s">
        <v>56</v>
      </c>
      <c r="G10" s="40"/>
    </row>
    <row r="11" ht="21.75" customHeight="1">
      <c r="B11" s="41" t="s">
        <v>29</v>
      </c>
      <c r="C11" s="42" t="s">
        <v>26</v>
      </c>
      <c r="D11" s="38" t="s">
        <v>55</v>
      </c>
      <c r="E11" s="41" t="s">
        <v>45</v>
      </c>
      <c r="F11" s="39" t="s">
        <v>56</v>
      </c>
      <c r="G11" s="40"/>
    </row>
    <row r="14" ht="7.5" customHeight="1"/>
    <row r="15" ht="15" customHeight="1">
      <c r="B15" s="43" t="s">
        <v>58</v>
      </c>
      <c r="C15" s="4"/>
      <c r="D15" s="4"/>
      <c r="E15" s="4"/>
      <c r="F15" s="4"/>
      <c r="G15" s="4"/>
    </row>
    <row r="16" ht="19.5" customHeight="1">
      <c r="B16" s="14" t="s">
        <v>59</v>
      </c>
      <c r="C16" s="44" t="s">
        <v>60</v>
      </c>
      <c r="D16" s="4"/>
      <c r="E16" s="4"/>
      <c r="F16" s="4"/>
      <c r="G16" s="4"/>
    </row>
    <row r="17" ht="19.5" customHeight="1">
      <c r="B17" s="19" t="s">
        <v>61</v>
      </c>
      <c r="C17" s="45" t="s">
        <v>62</v>
      </c>
      <c r="D17" s="4"/>
      <c r="E17" s="4"/>
      <c r="F17" s="4"/>
      <c r="G17" s="4"/>
    </row>
    <row r="18" ht="19.5" customHeight="1">
      <c r="B18" s="14" t="s">
        <v>63</v>
      </c>
      <c r="C18" s="44" t="s">
        <v>64</v>
      </c>
      <c r="D18" s="4"/>
      <c r="E18" s="4"/>
      <c r="F18" s="4"/>
      <c r="G18" s="4"/>
    </row>
    <row r="19" ht="19.5" customHeight="1">
      <c r="B19" s="46" t="s">
        <v>65</v>
      </c>
      <c r="C19" s="47" t="s">
        <v>66</v>
      </c>
      <c r="D19" s="4"/>
      <c r="E19" s="4"/>
      <c r="F19" s="4"/>
      <c r="G19" s="4"/>
    </row>
  </sheetData>
  <mergeCells count="6">
    <mergeCell ref="C16:G16"/>
    <mergeCell ref="B1:G1"/>
    <mergeCell ref="C19:G19"/>
    <mergeCell ref="C18:G18"/>
    <mergeCell ref="B15:G15"/>
    <mergeCell ref="C17:G17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language>en-US</dc:language>
  <cp:revision>3</cp:revision>
  <dcterms:created xsi:type="dcterms:W3CDTF">2026-02-20T06:55:59Z</dcterms:created>
  <dcterms:modified xsi:type="dcterms:W3CDTF">2026-03-02T01:04:28Z</dcterms:modified>
</cp:coreProperties>
</file>